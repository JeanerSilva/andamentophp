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bookViews>
    <workbookView xWindow="0" yWindow="60" windowWidth="15480" windowHeight="8130"/>
  </bookViews>
  <sheets>
    <sheet name="Processos" sheetId="8" r:id="rId1"/>
    <sheet name="Dados" sheetId="7" r:id="rId2"/>
    <sheet name="Prorrogação_Distribuição" sheetId="2" r:id="rId3"/>
    <sheet name="Repactuação_Distribuição" sheetId="3" r:id="rId4"/>
    <sheet name="Alteração Contratual Distrib" sheetId="4" r:id="rId5"/>
    <sheet name="Formalização de Contrato Distr" sheetId="1" r:id="rId6"/>
    <sheet name="Setor Administrativo" sheetId="6" r:id="rId7"/>
  </sheets>
  <definedNames>
    <definedName name="_xlnm._FilterDatabase" localSheetId="5" hidden="1">'Formalização de Contrato Distr'!$A$3:$D$59</definedName>
    <definedName name="_xlnm._FilterDatabase" localSheetId="0" hidden="1">Processos!$A$4:$K$284</definedName>
    <definedName name="_xlnm._FilterDatabase" localSheetId="2" hidden="1">Prorrogação_Distribuição!$A$1:$E$28</definedName>
    <definedName name="ListaEdital">#REF!</definedName>
  </definedNames>
  <calcPr calcId="152511"/>
</workbook>
</file>

<file path=xl/calcChain.xml><?xml version="1.0" encoding="utf-8"?>
<calcChain xmlns="http://schemas.openxmlformats.org/spreadsheetml/2006/main">
  <c r="J6" i="8" l="1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5" i="8"/>
  <c r="I11" i="8" l="1"/>
  <c r="I284" i="8" l="1"/>
  <c r="I283" i="8"/>
  <c r="I282" i="8"/>
  <c r="I281" i="8"/>
  <c r="I280" i="8"/>
  <c r="I279" i="8"/>
  <c r="I248" i="8" l="1"/>
  <c r="I249" i="8" l="1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47" i="8"/>
  <c r="I246" i="8" l="1"/>
  <c r="I245" i="8"/>
  <c r="I244" i="8" l="1"/>
  <c r="I243" i="8" l="1"/>
  <c r="I242" i="8" l="1"/>
  <c r="I241" i="8"/>
  <c r="I240" i="8" l="1"/>
  <c r="I239" i="8"/>
  <c r="I238" i="8"/>
  <c r="I237" i="8"/>
  <c r="I236" i="8"/>
  <c r="I235" i="8" l="1"/>
  <c r="I230" i="8" l="1"/>
  <c r="I231" i="8"/>
  <c r="I232" i="8"/>
  <c r="I233" i="8"/>
  <c r="I229" i="8" l="1"/>
  <c r="I228" i="8"/>
  <c r="I227" i="8"/>
  <c r="I226" i="8"/>
  <c r="I225" i="8" l="1"/>
  <c r="I224" i="8" l="1"/>
  <c r="I223" i="8"/>
  <c r="I222" i="8" l="1"/>
  <c r="I221" i="8"/>
  <c r="I220" i="8"/>
  <c r="I219" i="8"/>
  <c r="I218" i="8" l="1"/>
  <c r="I217" i="8" l="1"/>
  <c r="I216" i="8" l="1"/>
  <c r="I215" i="8"/>
  <c r="I214" i="8" l="1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25" i="8"/>
  <c r="I168" i="8"/>
  <c r="I167" i="8"/>
  <c r="I166" i="8"/>
  <c r="I165" i="8"/>
  <c r="K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88" i="8"/>
  <c r="I94" i="8"/>
  <c r="I93" i="8"/>
  <c r="I92" i="8"/>
  <c r="I91" i="8"/>
  <c r="I90" i="8"/>
  <c r="I89" i="8"/>
  <c r="I115" i="8"/>
  <c r="I114" i="8"/>
  <c r="I113" i="8"/>
  <c r="I112" i="8"/>
  <c r="I108" i="8"/>
  <c r="I5" i="7"/>
  <c r="I6" i="8"/>
  <c r="I7" i="8"/>
  <c r="I8" i="8"/>
  <c r="I9" i="8"/>
  <c r="I10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9" i="8"/>
  <c r="I110" i="8"/>
  <c r="I111" i="8"/>
  <c r="I116" i="8"/>
  <c r="I117" i="8"/>
  <c r="I118" i="8"/>
  <c r="I119" i="8"/>
  <c r="I5" i="8"/>
  <c r="D4" i="7" l="1"/>
  <c r="D14" i="7"/>
  <c r="I7" i="7"/>
  <c r="I8" i="7"/>
  <c r="D2" i="7"/>
  <c r="D9" i="7"/>
  <c r="I6" i="7"/>
  <c r="I3" i="7"/>
  <c r="D7" i="7"/>
  <c r="I2" i="7"/>
  <c r="D11" i="7"/>
  <c r="I4" i="7"/>
  <c r="D15" i="7"/>
  <c r="D5" i="7"/>
  <c r="G2" i="8"/>
  <c r="D10" i="7"/>
  <c r="D12" i="7"/>
  <c r="D3" i="7"/>
  <c r="D6" i="7"/>
  <c r="D8" i="7"/>
  <c r="D13" i="7"/>
</calcChain>
</file>

<file path=xl/sharedStrings.xml><?xml version="1.0" encoding="utf-8"?>
<sst xmlns="http://schemas.openxmlformats.org/spreadsheetml/2006/main" count="3270" uniqueCount="1350">
  <si>
    <t>OBJETO</t>
  </si>
  <si>
    <t>PROCESSO</t>
  </si>
  <si>
    <t>DATA</t>
  </si>
  <si>
    <t>FRAÇÃO</t>
  </si>
  <si>
    <t>RESPONSÁVEL</t>
  </si>
  <si>
    <t>DISTRIBUIÇÃO DE PROCESSOS - DIVCON</t>
  </si>
  <si>
    <t>EMPRESA</t>
  </si>
  <si>
    <t>PROTEMAXI</t>
  </si>
  <si>
    <t>SECE</t>
  </si>
  <si>
    <t>SEMG</t>
  </si>
  <si>
    <t>PAULO</t>
  </si>
  <si>
    <t>CRIAR</t>
  </si>
  <si>
    <t>SIM</t>
  </si>
  <si>
    <t>URGÊNCIA</t>
  </si>
  <si>
    <t>LTA- RH INFORMÁTICA</t>
  </si>
  <si>
    <t>1550/2017-21</t>
  </si>
  <si>
    <t>CEPESC</t>
  </si>
  <si>
    <t>ANDRÉ</t>
  </si>
  <si>
    <t>FORMALIZAR CONTRATO  PREGÃO SRP 26/17</t>
  </si>
  <si>
    <t>XP ON CONSULTORIA</t>
  </si>
  <si>
    <t>FORMALIZAR CONTRATO  PREGÃO SRP 33/17</t>
  </si>
  <si>
    <t>1459/2017-13</t>
  </si>
  <si>
    <t>RENATO</t>
  </si>
  <si>
    <t>ENOREY</t>
  </si>
  <si>
    <t>FORMALIZAR CONTRATO PREGÃO SRP 30/17</t>
  </si>
  <si>
    <t>1665/2017-15</t>
  </si>
  <si>
    <t>TELTEC SOLUTIONS</t>
  </si>
  <si>
    <t>FORMALIZAR CONTRATO PREGÃO SRP 32/17</t>
  </si>
  <si>
    <t>1875/2017</t>
  </si>
  <si>
    <t>CONTRATAÇÃO DE LEILOEIRO OFICIAL</t>
  </si>
  <si>
    <t>FORMALIZAR CONTRATO PREGÃO Nº 37/17</t>
  </si>
  <si>
    <t>0601/2017-05</t>
  </si>
  <si>
    <t>COMAP</t>
  </si>
  <si>
    <t>TELEFONICA BRASIL</t>
  </si>
  <si>
    <t>FORMALIZAR CONTRATO PREGÃO 38/17</t>
  </si>
  <si>
    <t>1346/2017-18</t>
  </si>
  <si>
    <t>ALTERAÇÃO CONTRATUAL DA CONTRATADA</t>
  </si>
  <si>
    <t>1762/2014-65</t>
  </si>
  <si>
    <t>DIVTROF</t>
  </si>
  <si>
    <t>CARLA</t>
  </si>
  <si>
    <t>GOLD SERVICE</t>
  </si>
  <si>
    <t>FORMALIZAR CONTRATO ADESÃO A ATA</t>
  </si>
  <si>
    <t>1838/2017-03</t>
  </si>
  <si>
    <t>SEAC</t>
  </si>
  <si>
    <t>1344/2017-11</t>
  </si>
  <si>
    <t>PREGÃO Nº 36/2017 VÁRIAS EMPRESAS</t>
  </si>
  <si>
    <t>AQUISIÇÃO DE MATERIAIS DE LIMPEZA</t>
  </si>
  <si>
    <t>RECEBIDO PELA CHEFIA</t>
  </si>
  <si>
    <t>ENCAM. AO ADMINISTRATIVO</t>
  </si>
  <si>
    <t>REGISTRO NO SIPAC E NE ENC. P/ EMPRESA- CONCLUÍDO</t>
  </si>
  <si>
    <t>ENERGISA</t>
  </si>
  <si>
    <t>FORMALIZAR CONTRATO- INEXIGIBILIDADE</t>
  </si>
  <si>
    <t>2173/2017-47</t>
  </si>
  <si>
    <t>SEMS</t>
  </si>
  <si>
    <t>2331/2017</t>
  </si>
  <si>
    <t>ATESTADO DE CAPACIDADE TÉCNICA</t>
  </si>
  <si>
    <t>CONTRA. 618/14</t>
  </si>
  <si>
    <t>Em 19/01/2018</t>
  </si>
  <si>
    <t>EDUARDO</t>
  </si>
  <si>
    <t>P&amp;P TURISMO</t>
  </si>
  <si>
    <t>SERVIÇOS EMISSÃO PASSAGENS AÉREAS</t>
  </si>
  <si>
    <t>541/2014</t>
  </si>
  <si>
    <t>CONTRATO</t>
  </si>
  <si>
    <t>SIM. VENC. EM 07/03/2018</t>
  </si>
  <si>
    <t>ULTRA LIMPEZA</t>
  </si>
  <si>
    <t>SERVIÇOS DE LIMPEZA E CONSERVAÇÃO</t>
  </si>
  <si>
    <t>503/2013</t>
  </si>
  <si>
    <t>SEGO</t>
  </si>
  <si>
    <t>SIM. VENC. EM 06/02/2018</t>
  </si>
  <si>
    <t>ER PARK ESTACIONAMENTO</t>
  </si>
  <si>
    <t>ALUGUEL DE VAGAS DE ESTACIONAMENTO</t>
  </si>
  <si>
    <t>534/2017</t>
  </si>
  <si>
    <t>SESP</t>
  </si>
  <si>
    <t>NÃO. VENC. 19/04/2018</t>
  </si>
  <si>
    <t>ENGEVISA</t>
  </si>
  <si>
    <t>ACRÉSCIMO CONTRATUAL DE MAIS 1 GERADOR</t>
  </si>
  <si>
    <t>533/2016</t>
  </si>
  <si>
    <t>COENG</t>
  </si>
  <si>
    <t>APECÊ</t>
  </si>
  <si>
    <t xml:space="preserve">VIGILÂNCIA </t>
  </si>
  <si>
    <t>LIMPEZA - SEDE</t>
  </si>
  <si>
    <t>CONT. 525/16</t>
  </si>
  <si>
    <t>COSERGE</t>
  </si>
  <si>
    <t>SETTA SERVIÇOS TERCEIRIZADOS</t>
  </si>
  <si>
    <t>LIMPEZA E CONSERVAÇÃO</t>
  </si>
  <si>
    <t>507/2013</t>
  </si>
  <si>
    <t>SEPR</t>
  </si>
  <si>
    <t>SIM. VENC. 01/03/2018</t>
  </si>
  <si>
    <t>COSTA E SHIMABUKO COT. ELE. 1/2018</t>
  </si>
  <si>
    <t>AQUISIÇÃO DE TESTES PSICOLÓGICOS</t>
  </si>
  <si>
    <t>2251/2017-11</t>
  </si>
  <si>
    <t>DGP</t>
  </si>
  <si>
    <t>TELECOMUNICAÇÕES BRASILEIRAS-TELEBRAS</t>
  </si>
  <si>
    <t>CONTRATAÇÃO DE SERVIÇOS DE REDE WAN</t>
  </si>
  <si>
    <t>1549/2017-04</t>
  </si>
  <si>
    <t>A3 GESTÃO</t>
  </si>
  <si>
    <t>SERVIÇO DE RECEPCIONISTA</t>
  </si>
  <si>
    <t>533/2015</t>
  </si>
  <si>
    <t>NÃO. VENC. 02/06/2018</t>
  </si>
  <si>
    <t>SUPREMAX SEGURANÇA</t>
  </si>
  <si>
    <t>SERVIÇOS DE VIGILÂNCIA ARMADA</t>
  </si>
  <si>
    <t>2236/2017-65</t>
  </si>
  <si>
    <t>SERN</t>
  </si>
  <si>
    <t>SIM. VIG. A PARTIR DE 09/02/2018</t>
  </si>
  <si>
    <t>ALEX RODRIGUES</t>
  </si>
  <si>
    <t>ALUGUEL DE IMÓVEL</t>
  </si>
  <si>
    <t>56/2011</t>
  </si>
  <si>
    <t>NÃO. VENC. 02/05/2018</t>
  </si>
  <si>
    <t>BACEN</t>
  </si>
  <si>
    <t>TERMO DE CESSÃO DE USO DE IMÓVEL</t>
  </si>
  <si>
    <t>INCONFIDÊNCIA</t>
  </si>
  <si>
    <t>CONT. 528/16</t>
  </si>
  <si>
    <t>SERS</t>
  </si>
  <si>
    <t>VISAN</t>
  </si>
  <si>
    <t>VIGILÂNCIA  - SEDE</t>
  </si>
  <si>
    <t>CONT. 506/2016</t>
  </si>
  <si>
    <t>Prorrogação emergencial</t>
  </si>
  <si>
    <t>CONT. 524/2016</t>
  </si>
  <si>
    <t>TOTAL VIGILÂNCIA - GO</t>
  </si>
  <si>
    <t>ANDRÉ NA DIVCOL</t>
  </si>
  <si>
    <t xml:space="preserve">LIDERANÇA </t>
  </si>
  <si>
    <t>544/2017</t>
  </si>
  <si>
    <t>SEBA</t>
  </si>
  <si>
    <t>NÃO. VENC. 07/06/2018</t>
  </si>
  <si>
    <t>TOTAL VIGILÂNCIA TOCANTINS</t>
  </si>
  <si>
    <t xml:space="preserve">VIGILÂNCIA ARMADA </t>
  </si>
  <si>
    <t>589/2014</t>
  </si>
  <si>
    <t>SETO</t>
  </si>
  <si>
    <t>NÃO. VENC. 05/06/2018</t>
  </si>
  <si>
    <t>VIA APPIA</t>
  </si>
  <si>
    <t>SERVIÇO DE INFORMÁTICA E TECNOLOGIA</t>
  </si>
  <si>
    <t>512/2013</t>
  </si>
  <si>
    <t>ESINT</t>
  </si>
  <si>
    <t>SIM. VENC. 09/03/2018</t>
  </si>
  <si>
    <t>TSE</t>
  </si>
  <si>
    <t>OFÍCIO DE ADESÃO ATA 11/2017</t>
  </si>
  <si>
    <t>376/2017-07</t>
  </si>
  <si>
    <t>27/02 P/ ENVIO PELO CORREIO</t>
  </si>
  <si>
    <t>CIGÁS</t>
  </si>
  <si>
    <t>OFÍCIO DE ADESÃO ATA 33/2017</t>
  </si>
  <si>
    <t>VIGILÂNCIA</t>
  </si>
  <si>
    <t>CONT. 507/2018</t>
  </si>
  <si>
    <t>NUTRICASH</t>
  </si>
  <si>
    <t>MANUTENÇÃO DE FROTA E COMBUSTÍVEL</t>
  </si>
  <si>
    <t>524/2015</t>
  </si>
  <si>
    <t>NÃO. VENC. 16/04/2018.</t>
  </si>
  <si>
    <t>OI E TELEMAR</t>
  </si>
  <si>
    <t>TELEFONIA REDE WAN</t>
  </si>
  <si>
    <t>510 E 511/2013</t>
  </si>
  <si>
    <t>SIM. VENC. 12/03</t>
  </si>
  <si>
    <t>MANUTENÇÃO AR CONDICIONADO</t>
  </si>
  <si>
    <t>536/2015</t>
  </si>
  <si>
    <t>CELPE- ENERGIA ELÉTRICA PE</t>
  </si>
  <si>
    <t>FORNECIMENTO DE ENERGIA ELÉTRICA</t>
  </si>
  <si>
    <t>0478/2017-14</t>
  </si>
  <si>
    <t>SEPE</t>
  </si>
  <si>
    <t>TOTAL VIGILÂNCIA -GO</t>
  </si>
  <si>
    <t>VIGILÂNCIA ARMADA</t>
  </si>
  <si>
    <t>524/2016</t>
  </si>
  <si>
    <t>NÃO. VENC. 01/07/2018</t>
  </si>
  <si>
    <t xml:space="preserve">Prorrogação de 2 Contratos Oi e Telemar 510 </t>
  </si>
  <si>
    <t>e 511/13. Em 02/03/2018.</t>
  </si>
  <si>
    <t>ÍMPAR TERCEIRIZAÇÃO</t>
  </si>
  <si>
    <t>520/2016</t>
  </si>
  <si>
    <t>SEMT</t>
  </si>
  <si>
    <t>NÃO. VENC. 17/06/2018</t>
  </si>
  <si>
    <t xml:space="preserve">CLARO </t>
  </si>
  <si>
    <t>TELEFONIA- REEQUILÍBRO ICMS</t>
  </si>
  <si>
    <t>CONT. 520/2015</t>
  </si>
  <si>
    <t>J BRILHANTE COMERCIAL</t>
  </si>
  <si>
    <t>ADESÃO ATA COMO ÓRGÃO PARTICIPANTE</t>
  </si>
  <si>
    <t>325/2018-58</t>
  </si>
  <si>
    <t>RICARDO</t>
  </si>
  <si>
    <t>RECEBIDO PELA CHEFIA EM 02/03.</t>
  </si>
  <si>
    <t>G.A SERVIÇOS</t>
  </si>
  <si>
    <t>550/2015</t>
  </si>
  <si>
    <t>NÃO. VENC. 14/07/2018</t>
  </si>
  <si>
    <t>M.K.R PESSOA</t>
  </si>
  <si>
    <t>1641/2016-85</t>
  </si>
  <si>
    <t>SEPB</t>
  </si>
  <si>
    <t>IARA MARIA</t>
  </si>
  <si>
    <t>ALUGUEL</t>
  </si>
  <si>
    <t>537/2017</t>
  </si>
  <si>
    <t>SIM. VENC. 19/04/2018</t>
  </si>
  <si>
    <t xml:space="preserve">PROJETO </t>
  </si>
  <si>
    <t>558/2017</t>
  </si>
  <si>
    <t>SIM. VENC. 19/03/2018</t>
  </si>
  <si>
    <t>JARBAS VASCONCELOS</t>
  </si>
  <si>
    <t>SEPA</t>
  </si>
  <si>
    <t>ALUGUEL- REDUÇÃO DO VALOR</t>
  </si>
  <si>
    <t>565/2014</t>
  </si>
  <si>
    <t>EDUARDO/redist. p/ PAULO</t>
  </si>
  <si>
    <t>PAULO/EDUARDO</t>
  </si>
  <si>
    <t>BSI BRASIL SOLUÇÕES</t>
  </si>
  <si>
    <t>AQUISIÇÃO DE KIT DE LAMPADAS</t>
  </si>
  <si>
    <t>1544/2017-73</t>
  </si>
  <si>
    <t>RECEBIDO EM 12/03.</t>
  </si>
  <si>
    <t>LENDA -AGUA MINERAL- PREGÃO 28/2017</t>
  </si>
  <si>
    <t>AQUISIÇÃO DE AGUA MINERAL</t>
  </si>
  <si>
    <t>2079/2017-98</t>
  </si>
  <si>
    <t>ANDRÉ AMANCIO E LIMPLAST COTAÇÃO ELETRÔNICA Nº 06/2018</t>
  </si>
  <si>
    <t>AQUISIÇÃO DE ACÚCAR E CAFÉ</t>
  </si>
  <si>
    <t>2485/2017-51</t>
  </si>
  <si>
    <t>SOARES COM. E LICITAÇÕES COT. ELE. 02/18</t>
  </si>
  <si>
    <t>AQUISIÇÃO REMANESCENTE PE 36/2017</t>
  </si>
  <si>
    <t>079/2018-34</t>
  </si>
  <si>
    <t>SIM. VENC. 04/04/2018</t>
  </si>
  <si>
    <t>ABC 2004 SEGURANÇA</t>
  </si>
  <si>
    <t>MANUTENÇÃO DE SISTEMA DE INCÊNDIO</t>
  </si>
  <si>
    <t>541/2015</t>
  </si>
  <si>
    <t>SERJ</t>
  </si>
  <si>
    <t>NÃO. VENC. 16/06/2018</t>
  </si>
  <si>
    <t>LDS SERVIÇOS DE LIMPEZA</t>
  </si>
  <si>
    <t>CONT. 539/2016</t>
  </si>
  <si>
    <t>EM 13/03/2018</t>
  </si>
  <si>
    <t>14/03. Enviar por malote p/ SECE.</t>
  </si>
  <si>
    <t>EMBASA</t>
  </si>
  <si>
    <t>ÁGUA E ESGOTO</t>
  </si>
  <si>
    <t>2135/2017-94</t>
  </si>
  <si>
    <t>ORIGINAL DEDETIZADORA</t>
  </si>
  <si>
    <t>SERVIÇO DE DEDETIZAÇÃO NA SEDE</t>
  </si>
  <si>
    <t>596/2014</t>
  </si>
  <si>
    <t>COSERG</t>
  </si>
  <si>
    <t>NÃO. VENC. 07/08/2018</t>
  </si>
  <si>
    <t>ELEVADORES ALCER</t>
  </si>
  <si>
    <t>MANUTENÇÃO DE ELEVADORES</t>
  </si>
  <si>
    <t>540/2015</t>
  </si>
  <si>
    <t>NÃO. VENC. 12/06/2018</t>
  </si>
  <si>
    <t>SERVICELINE</t>
  </si>
  <si>
    <t>525/15</t>
  </si>
  <si>
    <t>AMC</t>
  </si>
  <si>
    <t>LOCAÇÃO DE IMPRESSORA</t>
  </si>
  <si>
    <t>551/2014</t>
  </si>
  <si>
    <t>Recebido pela DIVCON no dia do vencimento.</t>
  </si>
  <si>
    <t>GERENCIAMENTO DE MANUTENÇÃO VEICULOS</t>
  </si>
  <si>
    <t>SIM. VENC. 16/04/2018</t>
  </si>
  <si>
    <t>3º TAC DE PRORROGAÇÃO ASSINADO</t>
  </si>
  <si>
    <t>500/2013</t>
  </si>
  <si>
    <t>EM 21/03.</t>
  </si>
  <si>
    <t>TAC DE PRORROGAÇÃO P/ ASSINATURA</t>
  </si>
  <si>
    <t>510 E 511</t>
  </si>
  <si>
    <t>POLO SEGURANÇA</t>
  </si>
  <si>
    <t>558/2015</t>
  </si>
  <si>
    <t>RR SOFTWARE E SOLUÇÕES</t>
  </si>
  <si>
    <t>1187/2017-43</t>
  </si>
  <si>
    <t>COSTA E SHIMABUKO</t>
  </si>
  <si>
    <t>COTAÇÃO ELETRÔNICA-AQUISIÇÃO DE TESTES PSICOLÓGICOS- EMPENHO CONTRATO</t>
  </si>
  <si>
    <t>EM 23/03.</t>
  </si>
  <si>
    <t>23/03.</t>
  </si>
  <si>
    <t>SICOLI; CRIAR; SIGGRAF; COM. TRIUNFO</t>
  </si>
  <si>
    <t>AQUISIÇÃO MAT. GRÁFICOS PREGÃO 02/2018</t>
  </si>
  <si>
    <t>1134/2017-22</t>
  </si>
  <si>
    <t>DIVGRAF</t>
  </si>
  <si>
    <t>ÁGUAS GUARIROBA</t>
  </si>
  <si>
    <t>CELG</t>
  </si>
  <si>
    <t>ENERGIA ELÉTRICA</t>
  </si>
  <si>
    <t>518/2014</t>
  </si>
  <si>
    <t>HONIX ELEVADORES</t>
  </si>
  <si>
    <t>MANUTENÇÃO ELEVADORES SEDE</t>
  </si>
  <si>
    <t>553/2017</t>
  </si>
  <si>
    <t>NÃO. VENC. 09/08/2018</t>
  </si>
  <si>
    <t>SOLL SERVIÇOS</t>
  </si>
  <si>
    <t>555/2015</t>
  </si>
  <si>
    <t>SOLL</t>
  </si>
  <si>
    <t>NÃO. VENC. 17/08/2018</t>
  </si>
  <si>
    <t>CONTRATO ASSINADO</t>
  </si>
  <si>
    <t>0455/17-18</t>
  </si>
  <si>
    <t>SESE</t>
  </si>
  <si>
    <t>EM 06/04</t>
  </si>
  <si>
    <t>06/04.</t>
  </si>
  <si>
    <t>SMAF-AP</t>
  </si>
  <si>
    <t>RATEIO DESPESAS CONDOMINIAIS</t>
  </si>
  <si>
    <t>TED Nº 002/15</t>
  </si>
  <si>
    <t>SEAP</t>
  </si>
  <si>
    <t>CENTRAIS ELETRICAS DO PARÁ- CELPA</t>
  </si>
  <si>
    <t>2007/2017-41</t>
  </si>
  <si>
    <t>M.D ARAGÃO</t>
  </si>
  <si>
    <t>535/2013</t>
  </si>
  <si>
    <t>SEAL</t>
  </si>
  <si>
    <t>APURA COM. DE SOFTWARE</t>
  </si>
  <si>
    <t>CONTRA. 571/15</t>
  </si>
  <si>
    <t>LIMPEZA CAIXA D' ÁGUA</t>
  </si>
  <si>
    <t>MACHADO</t>
  </si>
  <si>
    <t xml:space="preserve">ENGDTP E MULTIMIDIA </t>
  </si>
  <si>
    <t>INSCRIÇÃO DE SERVIDORES EVENTO EXTERNO</t>
  </si>
  <si>
    <t>0659/2018-21</t>
  </si>
  <si>
    <t>CAMPOS E MENEZES</t>
  </si>
  <si>
    <t>550/2017-11</t>
  </si>
  <si>
    <t>PORTARIA DISPENSA 13/2018</t>
  </si>
  <si>
    <t>LIMPEZA CAIXA D' ÁGUA TOCANTINS</t>
  </si>
  <si>
    <t>16/04 e-mail encaminhado para DIVAP p/ assinatura DAL</t>
  </si>
  <si>
    <t>OI</t>
  </si>
  <si>
    <t>TELEFONIA- REEQUILÍBRIO ICMS</t>
  </si>
  <si>
    <t>529/2015</t>
  </si>
  <si>
    <t xml:space="preserve">AIRWAY TRANSPORTES </t>
  </si>
  <si>
    <t>TRANSPORTE</t>
  </si>
  <si>
    <t>521/2015</t>
  </si>
  <si>
    <t>SIM. VENC. 27/04/2018</t>
  </si>
  <si>
    <t xml:space="preserve">EBC </t>
  </si>
  <si>
    <t>PUBLICIDADE</t>
  </si>
  <si>
    <t>511/2016</t>
  </si>
  <si>
    <t>DIVCOL</t>
  </si>
  <si>
    <t>NÃO. VENC. 19/07/2018</t>
  </si>
  <si>
    <t>ELETROBRÁS</t>
  </si>
  <si>
    <t>SERO</t>
  </si>
  <si>
    <t xml:space="preserve">INCONFIDÊNCIA </t>
  </si>
  <si>
    <t>528/2016</t>
  </si>
  <si>
    <t>MEMO ASSINADO 25/04.</t>
  </si>
  <si>
    <t>MEMO Nº 181/DAL/SPG, VENC. CONTRATO 15/08/2018</t>
  </si>
  <si>
    <t>JOB SEGURANÇA</t>
  </si>
  <si>
    <t>595/2014</t>
  </si>
  <si>
    <t>TED- MPOG- AMAPÁ</t>
  </si>
  <si>
    <t>MEMO Nº 185/DAL/SPG, VENC. CONTRATO 20/08/2018</t>
  </si>
  <si>
    <t>544/2012</t>
  </si>
  <si>
    <t>MEMO ASSINADO 26/04.</t>
  </si>
  <si>
    <t>PARADISO AQUA FRESH</t>
  </si>
  <si>
    <t>0374/2018-91</t>
  </si>
  <si>
    <t>AQUISIÇÃO DE ÁGUA MINERAL - DL 18/2018</t>
  </si>
  <si>
    <t>EXTINCAMP E EXTIMPLAS COM. EXTINTORES</t>
  </si>
  <si>
    <t>MANUTENÇÃO DE EXTINTORES DL 19/2018</t>
  </si>
  <si>
    <t>0599/2018-47</t>
  </si>
  <si>
    <t>PROSPECTARE BRASIL</t>
  </si>
  <si>
    <t>0740/2018-10</t>
  </si>
  <si>
    <t xml:space="preserve">REDE SOL </t>
  </si>
  <si>
    <t>COMPRA DE COMBUSTÍVEL- PESRP 39/2017</t>
  </si>
  <si>
    <t>BANCA OPÇÃO</t>
  </si>
  <si>
    <t>INCLUSÃO DE ASSINATURA DIGITAL AO CONT.</t>
  </si>
  <si>
    <t>566/2015</t>
  </si>
  <si>
    <t>618/2014</t>
  </si>
  <si>
    <t>ATESTADO ASSINADO EM 03/05</t>
  </si>
  <si>
    <t>COMPWIRE INFORMÁTICA</t>
  </si>
  <si>
    <t xml:space="preserve">SOLICITAÇÃO DE EMPENHO </t>
  </si>
  <si>
    <t>PE/SRP 34/2017</t>
  </si>
  <si>
    <t>MEMO Nº 292/CEPESC, EM 03/05</t>
  </si>
  <si>
    <t>CENTRO DE ORIENTAÇÃO PSICOLÓGICA</t>
  </si>
  <si>
    <t>AQUISIÇÃO DE TESTES PSICOLOGICOS</t>
  </si>
  <si>
    <t>SOARES COM. E LICITAÇÕES COT. ELE. 14/18</t>
  </si>
  <si>
    <t>AQUISIÇÃO FILTROS PURIFICADOR DE ÁGUA</t>
  </si>
  <si>
    <t>0460/2018-01</t>
  </si>
  <si>
    <t>SECINCENDIO COM.</t>
  </si>
  <si>
    <t>RECARGA DE EXTINTORES</t>
  </si>
  <si>
    <t>0378/2018-79</t>
  </si>
  <si>
    <t>JUCELINO; VORTEX; VIVIANE;CCK COMERC.</t>
  </si>
  <si>
    <t>AQUISIÇÃO EQUIPAMENTOS E FERRAMENTAS</t>
  </si>
  <si>
    <t>1819/2017-79</t>
  </si>
  <si>
    <t xml:space="preserve">PRO-SEG </t>
  </si>
  <si>
    <t>506/2015</t>
  </si>
  <si>
    <t>NÃO. VENC. 15/08/2018</t>
  </si>
  <si>
    <t>Prazo inferior a 120 dias= 97 - COM justificativa</t>
  </si>
  <si>
    <t>MIN. PLANEJAMENTO E GESTÃO</t>
  </si>
  <si>
    <t>544/12 TED 2/15</t>
  </si>
  <si>
    <t>REPASSE DESPESAS CONDOMINIAIS</t>
  </si>
  <si>
    <t>NÃO. VENC. 20/08/2018</t>
  </si>
  <si>
    <t>Prazo inferior a 120 dias - 102- COM justificativa</t>
  </si>
  <si>
    <t>DEFESA SERVICE</t>
  </si>
  <si>
    <t>500/2015</t>
  </si>
  <si>
    <t>Fase</t>
  </si>
  <si>
    <t>Qtd</t>
  </si>
  <si>
    <t>CGOF</t>
  </si>
  <si>
    <t>OBS</t>
  </si>
  <si>
    <t>SEGOR</t>
  </si>
  <si>
    <t>nº</t>
  </si>
  <si>
    <t>Instrução inicial</t>
  </si>
  <si>
    <t>Elaboração de minutas</t>
  </si>
  <si>
    <t>Enviado à ASJUR</t>
  </si>
  <si>
    <t>Chefia da DIVCON</t>
  </si>
  <si>
    <t>Enviado ao DAL</t>
  </si>
  <si>
    <t>Análise pós ASJUR</t>
  </si>
  <si>
    <t>Comunicação à empresa</t>
  </si>
  <si>
    <t>Procedimento pós assinatura</t>
  </si>
  <si>
    <t>Concluído</t>
  </si>
  <si>
    <t>Arquivado</t>
  </si>
  <si>
    <t>Resp.</t>
  </si>
  <si>
    <t>Subfase/observações</t>
  </si>
  <si>
    <t>NF</t>
  </si>
  <si>
    <t>Analistas</t>
  </si>
  <si>
    <t>Objetivo</t>
  </si>
  <si>
    <t>Empresa</t>
  </si>
  <si>
    <t>Objeto</t>
  </si>
  <si>
    <t>Fração</t>
  </si>
  <si>
    <t>Prorrogação</t>
  </si>
  <si>
    <t>Repactuação</t>
  </si>
  <si>
    <t>Alteração</t>
  </si>
  <si>
    <t>Reequilíbrio</t>
  </si>
  <si>
    <t>26/02/2018 - Distribuição</t>
  </si>
  <si>
    <t>27/02 - Distribuição
15/03 - COLICON/ASJUR 
17/04 - Assinatura DAL 
26/04 - Retorno 
03/05 - Ajuste de DO retorno</t>
  </si>
  <si>
    <t>24/01 - Distribuição
Aguardando doc. Complementar
22/02/2018 - Colicon/ASJUR
07/03 - DAL 07/03
08/03 - Envio ao Administrativo</t>
  </si>
  <si>
    <t>Enviado ao Administrativo</t>
  </si>
  <si>
    <t>Retorno analista</t>
  </si>
  <si>
    <t>Declaração Orçamentária</t>
  </si>
  <si>
    <t>31/01 - Distribuição
09/02 - COLICON/ASJUR
28/02 - Parecer Coserg. 
01/03 - Colicon 01/03
02/04 - Retorno asjur
09/04 - DAL e Administrativo</t>
  </si>
  <si>
    <t>05/02 - Distribuição
20/02 - Doc. Recebida 
21/02 - Colicon/ASJUR 
27/02 - Retorno 
27/02 - DAL
01/03 - Administrativo</t>
  </si>
  <si>
    <t>06/02 - Distribuição
08/02 - COLICON/ASJUR 
27/02 - Retorno 
07/03 - Retorno CGOF 
08/03 - DAL 8/03. 
14/03 - Retorno analista
15/03 - Administrativo</t>
  </si>
  <si>
    <t>02/03 - Distribuição
06/03 - Colicon/ASJUR 
12/03 - Retornou 
12/03 - DAL 12/03
12/03 - Administrativo</t>
  </si>
  <si>
    <t>12/03 - Distribuição
16/03 - COLICON/ASJUR
16/04 - Administrativo</t>
  </si>
  <si>
    <t>22/01 - Distribuição
Devolvido para SECE não foi homologada a CCT</t>
  </si>
  <si>
    <t>27/02 - Distribuição
26/03 - Colicon/assinatura DAL 
28/03 - Administrativo</t>
  </si>
  <si>
    <t>02/04 - Distribuição
10/04 - Colicon/DAL
16/04 - Administrativo</t>
  </si>
  <si>
    <t>31/01 - Distribuição
21/02 - COLICON/ASJUR
27/02 - Retorno ASJUR
06/03 - DAL
09/03 - Administrativo</t>
  </si>
  <si>
    <t>07/03 - COLICON/ASJUR
20/03 - Retorno
28/03 - Administrativo</t>
  </si>
  <si>
    <t>09/01 - Distribuição</t>
  </si>
  <si>
    <t>Formaliza contrato</t>
  </si>
  <si>
    <t>Formaliza empenho</t>
  </si>
  <si>
    <t>05/01 - Distribuição
11/01 - Assinatura DAL
12/01 - Retorno ao analista
12/01 - Administrativo</t>
  </si>
  <si>
    <t>08/01 - Distribuição
11/01 - Assinatura DAL 
11/01 - Retorno ao analista
11/01 - Administrativo</t>
  </si>
  <si>
    <t>09/01 - Distribuição
11/01 - Assinatura DAL
12/01 - Retorno ao analista
12/01 - Administrativo</t>
  </si>
  <si>
    <t>09/01 - Distribuição
12/01 - Assinatura DAL 
15/01 - Retorno ao analista
15/01 - Administrativo</t>
  </si>
  <si>
    <t>15/01 - Distribuição
25/01 - DAL
23/02 - Administrativo</t>
  </si>
  <si>
    <t>16/01 - Distribuição
22/01 - DAL
24/01 - Administrativo</t>
  </si>
  <si>
    <t>17/01 - Distribuição
19/01 - Asjur
02/02 - Administrativo</t>
  </si>
  <si>
    <t>06/02 - Distribuição
09/02 Assinatura DAL 
15/02 - Retorno DAL
06/03 - Administrativo</t>
  </si>
  <si>
    <t>15/02 - Distribuição
16/02 - DAL
18/02 - Administrativo</t>
  </si>
  <si>
    <t>14/03 - Distribuição
15/03 - DAL
16/03 - Administrativo</t>
  </si>
  <si>
    <t xml:space="preserve">G&amp; L SERVIÇOS E P&amp;M COM. </t>
  </si>
  <si>
    <t>AQUSIÇÃO EXTINTOR INCENDIO</t>
  </si>
  <si>
    <t>735/2018-07</t>
  </si>
  <si>
    <t>Rescisão</t>
  </si>
  <si>
    <t>17/01 - Distrbuição</t>
  </si>
  <si>
    <t>16/04 - Distrbuição</t>
  </si>
  <si>
    <t>26/04 - Distrbuição</t>
  </si>
  <si>
    <t>03/05 - Distrbuição</t>
  </si>
  <si>
    <t>04/05 - Distrbuição</t>
  </si>
  <si>
    <t>23/03 - Distrbuição</t>
  </si>
  <si>
    <t>13/04 - Distrbuição</t>
  </si>
  <si>
    <t>14/05 - Distrbuição</t>
  </si>
  <si>
    <t>02/02 - Recebido
05/02 - Distrbuição</t>
  </si>
  <si>
    <t>13/04 - Recebido
17/04 - Distrbuição</t>
  </si>
  <si>
    <t>04/05 - Recebido
07/05 - Distrbuição</t>
  </si>
  <si>
    <t>Controle</t>
  </si>
  <si>
    <t>LICENÇA DE SOFTWARE - JFROG - ARTFACTORY - GERENCIAMENTO DE PACOTES</t>
  </si>
  <si>
    <t>26/03 - Distribuição
13/04 - DAL
27/04 - Enviado contrato para assinatura</t>
  </si>
  <si>
    <t>CONCLUÍDO</t>
  </si>
  <si>
    <t>2060/2017-41</t>
  </si>
  <si>
    <t>27/02 - Distribuição
05/03 - Colicon/ASJUR 
08/03 - Retorno 08/03. 
08/03 - DAL 
14/03 - Retorno analista
15/03 - Enviado ao Administrativo</t>
  </si>
  <si>
    <t>02/03 - Distribuição
10/04 - Colicon/ASJUR 10/04. 
25/04 - Retorno 
03/05 - Retorno CGOF
07/05 - Assinatura DAL
09/05 - Enviado ao Administrativo</t>
  </si>
  <si>
    <t>06/03 - Distribuição
14/03 - DAL
16/03 - Enviado ao Administrativo</t>
  </si>
  <si>
    <t>NSV PROJETOS E CONSTRUÇÕES</t>
  </si>
  <si>
    <t>07/03 - Distribuição
15/03 - COLICON/ASJUR 
19/03 - Retorno 
19/03 - Assinatura DAL
20/03 - Enviado ao Administrativo</t>
  </si>
  <si>
    <t>05/04 - Distribuição
20/04 - Colicon/DAL
30/04 - Enviado ao Administrativo</t>
  </si>
  <si>
    <t>19/03 - Distribuição
23/04 - Assinatura DAL
29/04 - Enviado ao Administrativo</t>
  </si>
  <si>
    <t>16/02 - Distribuição
21/02 - COLICON/ASJUR 
05/03 - Retorno Divcon 
20/03 - Assinatura DAL
21/03 - Enviado ao Administrativo</t>
  </si>
  <si>
    <t>20/03 - Distribuição
16/04 - Assinatura DAL
16/04 - Enviado ao Administrativo</t>
  </si>
  <si>
    <t>02/02 - Distribuição
01/03 - Colicon/DAL</t>
  </si>
  <si>
    <t>27/02 - Distribuição
13/03 - COLICON/ASJUR 
19/03 - Retorno
19/03 - CGOF - emissão de DO
27/03 - DAL
28/03 - Administrativo</t>
  </si>
  <si>
    <t>02/03 - Solicitação de documentos
06/03 - Colicon/ASJUR
12/03 - DAL
12/03  - Administrativo</t>
  </si>
  <si>
    <t>07/03 - Distribuição
22/03 - Colicon/ASJUR 
04/04 - Retorno ASJUR 
10/04 - DAL
14/04 - Autorização do Ministro.
18/04 - Administrativo</t>
  </si>
  <si>
    <t>19/03 - Distribuição
20/03 - COLICON/ASJUR 20/03. 
22/03 - Retorno
22/03 - CGOF - DO
27/03 - DAL
28/03 - Administrativo</t>
  </si>
  <si>
    <t>18/04 - Distribuição
19/04 - Colicon/ASJUR
27/04 - DAL
27/04 - Administrativo</t>
  </si>
  <si>
    <t>05/03 - Distribuição
12/03 - Aguardando orientação Soraya
24/04 - Encaminhado arquivos para Soraya
27/04 - Soraya devolveu planilhas feitas aguardando explicação</t>
  </si>
  <si>
    <t>11/04 - Distribuição
16/04 - Assinatura DAL 
19/04 - Retorno
19/04 - Administrativo</t>
  </si>
  <si>
    <t>17/04 - Distribuição
24/04 - Aguardando orientações de como fazer o processo com a Soraya</t>
  </si>
  <si>
    <t>526/2016</t>
  </si>
  <si>
    <t>516/2017</t>
  </si>
  <si>
    <t>03/04 - Distribuição
20/04 - Colicon/ASJUR 
08/05 - Retorno ASJUR
10/05 - Enviado para DO
11/05 - Voltou da DO
16/05 - Assinado pela Fátima
17/05 - Enviado ao Administrativo</t>
  </si>
  <si>
    <t>TELTEC</t>
  </si>
  <si>
    <t>PE/SRP 32/2017</t>
  </si>
  <si>
    <t>MEMO Nº 350/CEPESC. 17/05</t>
  </si>
  <si>
    <t>LENOVO E LTA-RH</t>
  </si>
  <si>
    <t>PE/SRP 26/2017</t>
  </si>
  <si>
    <t>MEMO Nº 351/CEPESC. 17/05</t>
  </si>
  <si>
    <t>PE/SRP 33/2017</t>
  </si>
  <si>
    <t>MEMO Nº 352/CEPESC. 17/05</t>
  </si>
  <si>
    <t>NUTRICASH P/ MAXIFROTA CONT. Nº 524 PAULO 565 CARLA</t>
  </si>
  <si>
    <t>LIDERANÇA</t>
  </si>
  <si>
    <t>1º TAC PRORROGAÇÃO ASSINADO</t>
  </si>
  <si>
    <t>514/2018</t>
  </si>
  <si>
    <t>MEMO Nº 141/93500 EM 21/05</t>
  </si>
  <si>
    <t>WSM CONSTRUTORA</t>
  </si>
  <si>
    <t xml:space="preserve">CONTRATO ASSINADO- ALUGUEL </t>
  </si>
  <si>
    <t>506/2018</t>
  </si>
  <si>
    <t>MEMO Nº 061/SEMT EM 21/05</t>
  </si>
  <si>
    <t>581/2017</t>
  </si>
  <si>
    <t>511/2018</t>
  </si>
  <si>
    <t>TOTAL VIGILÂNCIA</t>
  </si>
  <si>
    <t>PRO SEG</t>
  </si>
  <si>
    <t>564/2015</t>
  </si>
  <si>
    <t>ASA BRANCA SEGURANÇA</t>
  </si>
  <si>
    <t>579/2017</t>
  </si>
  <si>
    <t>506/2016</t>
  </si>
  <si>
    <t>SEDE</t>
  </si>
  <si>
    <t xml:space="preserve">TOTAL </t>
  </si>
  <si>
    <t>507/2018</t>
  </si>
  <si>
    <t>IMPÉRIO IND. COM. BANDEIRAS</t>
  </si>
  <si>
    <t>440/2018-22</t>
  </si>
  <si>
    <t>AQUISIÇÃO DE BANDEIRA OFICIAL DO BRASIL</t>
  </si>
  <si>
    <t>GAB/DG</t>
  </si>
  <si>
    <t>22/05 - Distribuição</t>
  </si>
  <si>
    <t>GIULIANO BATISTA DE OLIVEIRA</t>
  </si>
  <si>
    <t>AQUISIÇÃO MATERIAL DE LIMPEZA E HIGIENIZAÇÃO</t>
  </si>
  <si>
    <t>0079/2018-34</t>
  </si>
  <si>
    <t>Quant.</t>
  </si>
  <si>
    <t>25/01/2018 - Distribuição
26/01 - ASJUR 
09/02 - DAL
13/02 - Enviado ao Administrativo</t>
  </si>
  <si>
    <t>CONTRATOS 514, 506, 515 e 512 de 2018.</t>
  </si>
  <si>
    <t>4 PORTARIAS ASSINADAS DE NOMEAÇÃO DE FISCAIS DE CONTRATOS</t>
  </si>
  <si>
    <t>EM 23/05.</t>
  </si>
  <si>
    <t>1690/2017-07</t>
  </si>
  <si>
    <t>PREGÃO SRP 06/2018 FORMALIZAR ATA</t>
  </si>
  <si>
    <t>AQUISIÇÃO CONDICIONADOR DE AR</t>
  </si>
  <si>
    <t>24/05 - Distribuição</t>
  </si>
  <si>
    <t>MEM. 132/SEGO</t>
  </si>
  <si>
    <t>SUBSTITUIÇÃO FISCAIS DE CONTRATOS 571/17; 503/13; 524/16; 518/14; 154/17.</t>
  </si>
  <si>
    <t>GJ COMÉRCIO DE GLP</t>
  </si>
  <si>
    <t>AQUISIÇÃO DE GÁS</t>
  </si>
  <si>
    <t>0781/2017</t>
  </si>
  <si>
    <t>PRIME SISTEMAS DE ENERGIA</t>
  </si>
  <si>
    <t>MANUTENÇÃO CORRETIVA  AR CONDICIONADO</t>
  </si>
  <si>
    <t>0847/2018-50</t>
  </si>
  <si>
    <t>1730/2017-11</t>
  </si>
  <si>
    <t>AQUISIÇÃO DE EXPANSÃO SOLUÇÃO ARMAZ. DE DADOS</t>
  </si>
  <si>
    <t>16/01 - Distribuição
08/02 - COLICON/ASJUR 
11/05 - Assinatura DAL cont.565
16/05 - Retorno ao analista
16/05 - Enviado  administrativo
22/05 - Contrato nº 524 assinatura DAL
25/05 - Enviado ao Administrativo - CISÂO</t>
  </si>
  <si>
    <t>27/04 - Distribuição
03/05 - Colicon/ASJUR
14/05 - Retorno ao analista
15/05 - Enviado para CGOF
18/05 - Assinatura DAL
25/05 - Enviado ao Administrativo</t>
  </si>
  <si>
    <t>PREGÃO SRP 18/2017</t>
  </si>
  <si>
    <t>MATERIAL DE EXPEDIENTE</t>
  </si>
  <si>
    <t>684/17-24</t>
  </si>
  <si>
    <t>28/05 - Distribuição. Obs: recebido da CGOF em 25/05 sexta feira no final da tarde</t>
  </si>
  <si>
    <t>904/18-09</t>
  </si>
  <si>
    <t xml:space="preserve">BEIJA FLOR LOCADORA- </t>
  </si>
  <si>
    <t>TRANSP. CURSO CAI- Dispensa nº 24-2018</t>
  </si>
  <si>
    <t>PHOENIX SERVIÇOS</t>
  </si>
  <si>
    <t>2084/17-09</t>
  </si>
  <si>
    <t>2084/2017-09</t>
  </si>
  <si>
    <t>ANDRE</t>
  </si>
  <si>
    <t>02/04 - Distribuição
04/04 - Solicitado Termo Aditivo ao fiscal 
12/04 - Contato Telefônico com Fiscal
14/05 - Enviado e-mail reiterando pedido
16/05 - A ENEL informou que precisa formalizar novo contrato. Não fazem aditamento. Orientado ao fiscal para negociar a formalização
24/05 - Devolvido para SEGO para formalização de novo contrato</t>
  </si>
  <si>
    <t>530/2016</t>
  </si>
  <si>
    <t>NÃO. VENC. 13/10/2018</t>
  </si>
  <si>
    <t xml:space="preserve">REDENTOR </t>
  </si>
  <si>
    <t>2066/17-19</t>
  </si>
  <si>
    <t>AQUISIÇÃO DE SOLUÇÃO DE SEGURANÇA DA INFORMAÇÃO E AUDITORIA</t>
  </si>
  <si>
    <t>2066/2017-19</t>
  </si>
  <si>
    <t>INFOSEC TECNOLOGIA  (ADESÃO À ATA)</t>
  </si>
  <si>
    <t>EM 28/05</t>
  </si>
  <si>
    <t>ATA 30/2017</t>
  </si>
  <si>
    <t>PORTARIA ASSINADA FISCAL DE CONTRATOS</t>
  </si>
  <si>
    <t>CONTRATOS SEGO</t>
  </si>
  <si>
    <t>NÃO. VENC. 26/08/2018</t>
  </si>
  <si>
    <t>Prazo inferior a 120 dias- 90- COM justificativa</t>
  </si>
  <si>
    <t>2122/2017-15</t>
  </si>
  <si>
    <t>CÂMARA DE DIRIGENTES LOJISTAS</t>
  </si>
  <si>
    <t>CONSULTA SIMPLES AO BANCO DE DADOS SERASA</t>
  </si>
  <si>
    <t>2122/17-15</t>
  </si>
  <si>
    <t>AQUISIÇÃO MICROCOMPUTADORES</t>
  </si>
  <si>
    <t>1550/17-21</t>
  </si>
  <si>
    <t xml:space="preserve">LENOVO E LTA </t>
  </si>
  <si>
    <t>24/05 - Distribuição
28/05 - Assinatura DAL
29/05 - Retorno
30/05 - Administrativo</t>
  </si>
  <si>
    <t>GARANTIA- RECIBO DE DEPÓSITO CAUÇÃO</t>
  </si>
  <si>
    <t>528 E 529/2015</t>
  </si>
  <si>
    <t>26/03 - Distribuição
OBS: Aguardando Decreto de aumento do Vale Transporte, recebido em 10/05.
24/05 - Colicon/DAL assinatura
29/05 - Retorno
30/05 - Enviado ao Administrativo</t>
  </si>
  <si>
    <t>563/2015</t>
  </si>
  <si>
    <t>SEPI</t>
  </si>
  <si>
    <t>SERVFAZ</t>
  </si>
  <si>
    <t>WSM - CONSTRUTORA E INCORPORADORA LTDA.</t>
  </si>
  <si>
    <t>ALUGUEL - SEMT</t>
  </si>
  <si>
    <t>1944/2016</t>
  </si>
  <si>
    <t>25/05 - Distribuição
28/05 - Assinatura DAL
29/05 - Retorno 
30/05 - CGOF para emissão de empenho
30/05 - Administrativo</t>
  </si>
  <si>
    <t>19/02 - Distribuição
28/02 - Colicon/ASJUR 
24/04 - Retorno 
26/04 - DAL
28/05 -Envio ao Administrativo
04/06 - Administrativo</t>
  </si>
  <si>
    <t>AQUISIÇÃO DE CODECS</t>
  </si>
  <si>
    <t>1459/17-13</t>
  </si>
  <si>
    <t>1774/2017-32</t>
  </si>
  <si>
    <t>MACHADO E MOREIRA</t>
  </si>
  <si>
    <t>SERVIÇOS DEDETIZAÇÃO</t>
  </si>
  <si>
    <t>539/2016</t>
  </si>
  <si>
    <t>LDS SERVIÇOS</t>
  </si>
  <si>
    <t>551/2017</t>
  </si>
  <si>
    <t>SIM. VENC. 02/08/2018</t>
  </si>
  <si>
    <t>Prazo inferior a 120 dias - 60 - SEM justificativa</t>
  </si>
  <si>
    <t>GÊNESIS</t>
  </si>
  <si>
    <t>00106/2018-79</t>
  </si>
  <si>
    <t>APROVVE CONSULTORIA</t>
  </si>
  <si>
    <t>0106/18-79</t>
  </si>
  <si>
    <t>SIM. VIG. A PARTIR DE 08/06/2018</t>
  </si>
  <si>
    <t>1818/2017-24</t>
  </si>
  <si>
    <t xml:space="preserve">RICARDO </t>
  </si>
  <si>
    <t>ASSISTÊNCIA TÉCNICA SISTEMA NOBREAKS</t>
  </si>
  <si>
    <t>1818/17-24</t>
  </si>
  <si>
    <t>10/04 - Distribuição
07/05 - Enviado para ASJUR
21/05 - Retorno ao DAL/Analista 24/05 - Enviado ao Administrativo</t>
  </si>
  <si>
    <t>25/04 - Distribuição
10/05 - Colicon/ASJUR
30/05 - Retorno ao analista
30/05 - Assinatura DAL
07/06 - Retorno
07/06 - Administrativo</t>
  </si>
  <si>
    <t>24/05 - Distribuição
30/05 - Assinatura DAL
07/06 - Retorno
07/06 - Enviado ao Administrativo</t>
  </si>
  <si>
    <t>29/05 - Distribuição
04/06 - Colicon/DAL assinatura
07/06 - Retorno
07/06 - Enviado ao Admnistrativo</t>
  </si>
  <si>
    <t>2105/2017-88</t>
  </si>
  <si>
    <t>SERPRO</t>
  </si>
  <si>
    <t>SERVIÇOS DE INFORMAÇÃO E INFORMÁTICA</t>
  </si>
  <si>
    <t>2105/17-88</t>
  </si>
  <si>
    <t>SPG</t>
  </si>
  <si>
    <t>04/06 - Distribuição
05/06 - Chefia da DIVCON
06/06 - Retorno Analista
07/06 - Chefia DIVCON
07/06 - Colicon/DAL assinatura
08/06 - Retorno
11/08 - Administrativo</t>
  </si>
  <si>
    <t>07/06 - Distribuição
08/06 - Colicon/DAL assinatura
08/06 - Retorno
11/06 - CGOF 
11/06 - Administrativo</t>
  </si>
  <si>
    <t>-</t>
  </si>
  <si>
    <t>056/2011</t>
  </si>
  <si>
    <t>1875/2017-11</t>
  </si>
  <si>
    <t>AQUISIÇÃO DE ROTEADORES E SWITCHS DE ACESSO</t>
  </si>
  <si>
    <t>1875/17-11</t>
  </si>
  <si>
    <t>30/05 - Distribuição
06/06 - Chefia da Divcon
07/06 - Colicon/DAL 
13/06 - Retorno
13/06 - Enviado ao Administrativo</t>
  </si>
  <si>
    <t>0503/2018-41</t>
  </si>
  <si>
    <t>COMPARTILHAMENTO DE IMÓVEL PARA SERR</t>
  </si>
  <si>
    <t>SERR</t>
  </si>
  <si>
    <t>0169/2018-25</t>
  </si>
  <si>
    <t>0169/18-25</t>
  </si>
  <si>
    <t>MINERAÇÃO CUNHA COMÉRICIO</t>
  </si>
  <si>
    <t>AQUISIÇÃO DE ÁGUA MINERAL - DL 33/2018</t>
  </si>
  <si>
    <t>0973/18-12</t>
  </si>
  <si>
    <t xml:space="preserve">18/06 - Distribuição </t>
  </si>
  <si>
    <t>JULEAN DECORAÇÕES</t>
  </si>
  <si>
    <t>AQUISIÇÃO DE PERSIANAS</t>
  </si>
  <si>
    <t>0855/18-04</t>
  </si>
  <si>
    <t>06/06 - Distribuição
11/06 - Colicon/DAL assinatura
14/06 - Retorno
14/06 - Declaração Orçamentária
18/06 - Retorno ao Analista
18/06 - Enviado ao Administrativo</t>
  </si>
  <si>
    <t>SIM. INÍCIO DA VIGÊNCIA EM 15/06</t>
  </si>
  <si>
    <t>CALEVI MINERADORA</t>
  </si>
  <si>
    <t>AQUISIÇÃO DE ÁGUA MINERAL</t>
  </si>
  <si>
    <t>2079/17-98</t>
  </si>
  <si>
    <t>19/06 - Distribuição</t>
  </si>
  <si>
    <t>CVAS REFRIGERAÇÃO</t>
  </si>
  <si>
    <t>LIMPEZA DE AR CONDICIONADO</t>
  </si>
  <si>
    <t>0674/18-70</t>
  </si>
  <si>
    <t>20/06 - Distribuição</t>
  </si>
  <si>
    <t>05/03 - Distribuição
18/04 - Colicon/ASJUR 
04/05 - Retorno ASJUR 
10/05 - Assinatura DAL
16/05 - Administrativo</t>
  </si>
  <si>
    <t>SERVFAZ SERVICOS DE MAO DE OBRA LTDA</t>
  </si>
  <si>
    <t>PORTARIA ASSINADA SUBSTITUIÇÃO DE FISCAL DE CONTRATOS</t>
  </si>
  <si>
    <t>EM 21/06</t>
  </si>
  <si>
    <t>SANTA CRUZ/ YM / INFINITY</t>
  </si>
  <si>
    <t>AQUISIÇÃO DE CAFÉ, AÇÚCAR E GARRAFA</t>
  </si>
  <si>
    <t>0728/2218</t>
  </si>
  <si>
    <t>21/06 - Distribuição</t>
  </si>
  <si>
    <t>SANTA CRUZ, YM, INFINITY</t>
  </si>
  <si>
    <t>AQUISIÇÃO CAFÉ, AÇÚCAR, GARRAFA</t>
  </si>
  <si>
    <t>0728/2018-05</t>
  </si>
  <si>
    <t>MEMO Nº 264/DAL/SPG, VENC. CONTRATO 07/10/2018</t>
  </si>
  <si>
    <t>540/2017</t>
  </si>
  <si>
    <t>SESC</t>
  </si>
  <si>
    <t>SAMF/SC MIN. DA FAZENDA SANTA CATARINA</t>
  </si>
  <si>
    <t>08/05 - Distribuição - Reforma Trabalhista
21/05 - Colicon/ASJUR
05/06 - Retorno ao analista
06/06 - Chefia da Divcon
07/06 - Colicon/DAL assinatura
08/06 - Retorno
11/06 - Administrativo</t>
  </si>
  <si>
    <t>Diligências no requisitante</t>
  </si>
  <si>
    <t>20/06 - Distribuição
20/06 - Chefia Divicon
20/06 - Colicon/DAL assinatura
26/06 - Retorno
26/06 - Administrativo</t>
  </si>
  <si>
    <t>ATA 026/17</t>
  </si>
  <si>
    <t xml:space="preserve"> AQUISIÇAO COMPUTADORES</t>
  </si>
  <si>
    <t>ATA RP 026/2017</t>
  </si>
  <si>
    <t>2069/2017-52</t>
  </si>
  <si>
    <t>SIM. INÍCIO DA VIGÊNCIA EM 02/07</t>
  </si>
  <si>
    <t>FAMA SERVICE ADMINISTRAÇÃO</t>
  </si>
  <si>
    <t>2069/17-52</t>
  </si>
  <si>
    <t>NÃO. VENC. 18/10/2018</t>
  </si>
  <si>
    <t>Prazo inferior a 120 dias, SEM justificativa</t>
  </si>
  <si>
    <t>06/06 - Distribuição
07/06 - Colicon/DAL
08/06 - Retorno
09/06 - Enviado ao Administrativo</t>
  </si>
  <si>
    <t>20/04 - Distribuição
27/04 - Colicon/ASJUR
06/06 - Retorno 
06/06 - CGOF
13/06 - Retorno
19/06 - Colicon/DAL assinatura
21/06 - Retorno
21/06 - Enviado ao Administrativo</t>
  </si>
  <si>
    <t>12/01 - Distribuição
08/02 Aguardando regularização no SICAF p/ prosseguir. P/ DAL
29/01 - Enviado ao Administrativo</t>
  </si>
  <si>
    <t>MINISTERIO DA SAÚDE EM RORAIMA</t>
  </si>
  <si>
    <t>12/06 - Distribuição
20/06 - Colicon/DAL assinatura
28/06 - Retorno
28/06 - Enviado ao Administrativo</t>
  </si>
  <si>
    <t>ATAC - FIRE EXTINTORES</t>
  </si>
  <si>
    <t>1078/18-15</t>
  </si>
  <si>
    <t>28/06 - Distribuição</t>
  </si>
  <si>
    <t>CLAUDEMIR AIRES</t>
  </si>
  <si>
    <t>AQUIÇÃO ÁGUA MINERAL</t>
  </si>
  <si>
    <t>1081/18/21</t>
  </si>
  <si>
    <t>15/06 - Distribuição
19/06 - Colicon/assinatura DAL
21/06 - Retorno
25/06 - Ajuste de DO
27/06 - Administrativo
29/06 - Encaminhado para assinatura da contratada</t>
  </si>
  <si>
    <t>525/2016</t>
  </si>
  <si>
    <t>SIM. VENC. 22/07/2018</t>
  </si>
  <si>
    <t>Prorrogação excepcional. Licitação em andamento</t>
  </si>
  <si>
    <t>LIMPEZA</t>
  </si>
  <si>
    <t>SÉRGIO MACHADO REIS</t>
  </si>
  <si>
    <t>SERVIÇO DE CLIPPING ELETRÔNICO JORNALÍSTICO</t>
  </si>
  <si>
    <t>0886/2018-57</t>
  </si>
  <si>
    <t>ARIC</t>
  </si>
  <si>
    <t>03/07 - Distribuição</t>
  </si>
  <si>
    <t>VALOR DO CONHECIMENTO</t>
  </si>
  <si>
    <t>CAPACITAÇÃO DE SERVIDOR</t>
  </si>
  <si>
    <t>1162/18-21</t>
  </si>
  <si>
    <t>535/2016</t>
  </si>
  <si>
    <t>NÃO. VENC. 08/11/2018</t>
  </si>
  <si>
    <t>3 R COMÉRCIO E SERVIÇOS</t>
  </si>
  <si>
    <t>MANUTENÇÃO DE AR CONDICIONADO</t>
  </si>
  <si>
    <t>05/07 - Distribuição</t>
  </si>
  <si>
    <t>02/03 - Distribuição
11/04 - DAL assinatura
13/04 - Retorno
13/04 - Administrativo
18/04 - Enviado para assinatura da Contratada</t>
  </si>
  <si>
    <t>ARW ADMINISTRAÇÃO DE MÃO DE OBRA</t>
  </si>
  <si>
    <t>ANEXAÇÃO DE PROCESSO DE SANÇÃO</t>
  </si>
  <si>
    <t>1930/2016-84</t>
  </si>
  <si>
    <t>ATRATIVA</t>
  </si>
  <si>
    <t>0978/2016-75</t>
  </si>
  <si>
    <t>LG COMÉRCIO E SERVIÇOS</t>
  </si>
  <si>
    <t>0522/2018-77</t>
  </si>
  <si>
    <t>CGAD</t>
  </si>
  <si>
    <t>WMN COM. PRODUTOS ALIMENTÍCIOS</t>
  </si>
  <si>
    <t>1634/2017-64</t>
  </si>
  <si>
    <t>SIS TOTAL SISTEMAS</t>
  </si>
  <si>
    <t>0926/2018-61</t>
  </si>
  <si>
    <t>2026/2017-77</t>
  </si>
  <si>
    <t>BROADMEDIA FOTO E VIDEO</t>
  </si>
  <si>
    <t>AQUISIÇÃO DE SOLUÇÃO INTEGRADA TRASMISSÃO DE AÚDIO E VÍDEO</t>
  </si>
  <si>
    <t>CARPLAC COM. E SERVIÇOS</t>
  </si>
  <si>
    <t>FORNECIMENTO E INSTALAÇÃO DE EMBLEMAS DE IDENTIFICAÇÃO</t>
  </si>
  <si>
    <t>1113/2018-98</t>
  </si>
  <si>
    <t>10/07 - Distribuição</t>
  </si>
  <si>
    <t>V. OFFICE CONSULTORES</t>
  </si>
  <si>
    <t>1151/2018-41</t>
  </si>
  <si>
    <t>INTERNATIONAL ASSOCIATION</t>
  </si>
  <si>
    <t>1145/2018-93</t>
  </si>
  <si>
    <t>532/2016</t>
  </si>
  <si>
    <t>NÃO. VENC. 14/10/2018</t>
  </si>
  <si>
    <t>Prazo inferior a 120 dias - 90- COM justificativa</t>
  </si>
  <si>
    <t>GRUPO STATUS EIRELI</t>
  </si>
  <si>
    <t>17/04 - Distribuição. Redução quantitativa do objeto
20/04 - Aguardando a indicação da data de início da alteração.
27/06 - Colicon/ASJUR
05/07 - Retorno
06/07 - CGOF
10/07 - Retorno da CGOF
11/07 - Chefia Colicon/ assinatura DAL</t>
  </si>
  <si>
    <t>555/2017</t>
  </si>
  <si>
    <t>NÃO. VENC. 06/09/2018</t>
  </si>
  <si>
    <t>Prazo inferior a 120 dias - 55 - SEM justificativa</t>
  </si>
  <si>
    <t>MARCA SUL TRANSPORTES</t>
  </si>
  <si>
    <t>TRANSPORTE RODOVIÁRIO</t>
  </si>
  <si>
    <t>10/05 - Distribuição
11/05 - Aguardando documentação suplementar
02/07 - Colicon-Assinatura DAL
10/07 - Retorno assinado
11/07 - Enviado ao Administrativo</t>
  </si>
  <si>
    <t>14/06 - Distribuição
14/06 - Enviado ao Administrativo</t>
  </si>
  <si>
    <t>NÃO. VENC. 07/10/2018</t>
  </si>
  <si>
    <t>Prazo inferior a 120 dias - 83- SEM justificativa</t>
  </si>
  <si>
    <t>13/07 - Distribuição</t>
  </si>
  <si>
    <t>SANEAGO</t>
  </si>
  <si>
    <t xml:space="preserve">CONTRATO ASSINADO </t>
  </si>
  <si>
    <t>571/2017</t>
  </si>
  <si>
    <t>FINO SABOR, N3 DISTRIBUIÇÃO E MAM RIBEIRO</t>
  </si>
  <si>
    <t>AQUISIÇÃO DE GÊNEROS ALIMENTÍCIOS</t>
  </si>
  <si>
    <t>0376/2017-07</t>
  </si>
  <si>
    <t>COMAP/DIVAL</t>
  </si>
  <si>
    <t>COMERCIAL MINAS; JARDA; KAZA</t>
  </si>
  <si>
    <t>AQUISIÇÃO MATERIAIS DE COPA E COZINHA</t>
  </si>
  <si>
    <t>0850/2017-92</t>
  </si>
  <si>
    <t>JOSÉ CARLOS DA SILVEIRA</t>
  </si>
  <si>
    <t>MATERIAL LAVANDERIA</t>
  </si>
  <si>
    <t>0845/2018-61</t>
  </si>
  <si>
    <t>0685/2017-79</t>
  </si>
  <si>
    <t>CLEAN AR CLIMATIZAÇÃO</t>
  </si>
  <si>
    <t>MANUTENÇÃO PREVENTIVA E CORRETIVA AR CONDICIONADO</t>
  </si>
  <si>
    <t>CONSTRUFOR CONSTRUÇÕES</t>
  </si>
  <si>
    <t>AQUISIÇÃO E INSTALAÇÃO DIVISÓRIAS E PORTAS</t>
  </si>
  <si>
    <t>2010/2017-64</t>
  </si>
  <si>
    <t>1059/2017-08</t>
  </si>
  <si>
    <t>DIBASA COMERCIO E SERVIÇOS</t>
  </si>
  <si>
    <t>MANUTENÇÃO PREVENTIVA E CORRETIVA ELEVADOR</t>
  </si>
  <si>
    <t>EMPRESA G- INTER TRANSPORTE</t>
  </si>
  <si>
    <t>ENCAMINHAR OFÍCIO Nº 115/2018 CEF - LIBERAÇÃO DE GARANTIA</t>
  </si>
  <si>
    <t>525/2017</t>
  </si>
  <si>
    <t>27/06 - Distribuição
27/06 - E-mail ao requisitante para informar data de início do contrato. Prazo 29/06
28/06 - chefia Divicon
28/06 - Colicon/DAL assinatura
02/07 - Retorno
02/07 - CGOF - Ajuste de DO
04/07 - Administrativo</t>
  </si>
  <si>
    <t>0781/2017-17</t>
  </si>
  <si>
    <t>16/07 - Distribuição</t>
  </si>
  <si>
    <t>NÃO. VENC. 06/01/2019</t>
  </si>
  <si>
    <t>ESTACIONAMENTO 13 DE MAIO</t>
  </si>
  <si>
    <t>05/06 - Distribuição
04/07 - Chefia Colicon/ assinatura DAL
10/07 - Retorno da CGOF c/ ajuste de DO e apostilamento SEM assinatura , não foi encaminhado à Diretora. Devolvido à CGOF
11/07 - Enviado ao Administrativo</t>
  </si>
  <si>
    <t>16/05 - Distribuição - Reforma Trabalhista
Aguardando conclusão da rescisão
07/06 - Ofício encaminhado
25/06 - Chefia DIVCON
25/06 - Colicon/ASJUR
16/07 - Não será feito TAC para reforma trabalhista. Encaminhado documentos para CGOF para análise de retroação.
16/07 - Administrativo</t>
  </si>
  <si>
    <t>15/03 - Distribuição. Prorrogação e Repactuação separadamente.
20/04 - Apostilamento repactuação Colicon/DAL 
08/05 - Devolvido p/ correções. 
08/05 - DAL assinar
17/05 - Enviado ao Administrativo
17/05 - Prorrogação em análise
26/06 - Colicon/ASJUR 
09/07 - Retorno analista
11/07 - CGOF - DO
16/07 - Retorno 
18/07 - Chefia Colicon/assinatura DAL
19/07 - Retorno ao analista
19/07 - Enviado ao Administrativo</t>
  </si>
  <si>
    <t>568/2015</t>
  </si>
  <si>
    <t>NÃO. VENC. 10/11/2018</t>
  </si>
  <si>
    <t>Prazo inferior a 120 dias -111 dias - SEM justificativa</t>
  </si>
  <si>
    <t>MS EMPREENDIMENTOS</t>
  </si>
  <si>
    <t>19/07 - Distribuição</t>
  </si>
  <si>
    <t xml:space="preserve">CLIMART </t>
  </si>
  <si>
    <t>1224/2017-13</t>
  </si>
  <si>
    <t>08/05 - Distribuição - Reforma Trabalhista
06/06 -Ofício encaminado
22/06 - Chefia DIVCON
25/06 - Devolvido ao analista para correções
26/06 - Colicon/ASJUR
16/07 - Retorno ao analista
16/07 - Chefia DIVCON
17/07 - Chefia Colicon/ assinatura DAL
18/07 - CGOF - Ajuste DO
19/07 - Administrativo</t>
  </si>
  <si>
    <t>JOÃO MATOS DA SILVA</t>
  </si>
  <si>
    <t>AQUISIÇÃO DE CAFETEIRA</t>
  </si>
  <si>
    <t>0884/2018-68</t>
  </si>
  <si>
    <t>OBS: SEM DEMANDAS DE 23/07 A 06/08 - FÉRIAS DO RENATO</t>
  </si>
  <si>
    <t>SERVIÇO RECEPCIONISTA</t>
  </si>
  <si>
    <t>28/05 - Distribuição
29/05 - Chefia da Divcon
30/05 - Retorno Analista
05/06 - Chefia da Divcon
07/06 - Colicon/ASJUR
29/06 - Retorno ASJUR
29/06 - Emissão de DO
04/07 - Chefia DIVCON
04/07 - Chefia Colicon/ assinatura DAL
05/07 - Retorno
05/07  - Administrativo</t>
  </si>
  <si>
    <t xml:space="preserve">06/03 - Distribuição
23/04 - Colicon/ASJUR 
24/04 - Devolvido para correções da minuta. 26/04 - Colicon/ASJUR.
18/05 - Retorno ao analista
18/05 - Enviado para DO
24/05 - Voltou da DO
25/05 - Assinatura DAL
28/05 - Retorno do DAL
01/06 - Enviado ao Administrativo
</t>
  </si>
  <si>
    <t>0400/2018-18</t>
  </si>
  <si>
    <t>ENERGISA MATO GROSSO SUL</t>
  </si>
  <si>
    <t>27/06 - Distribuição. Especificação do objeto 
04/07 - Chefia Colicon/ASJUR
23/07 - Retorno ao analista
24/07 - Chefia Colicon/DAL 
assinatura
25/07 - Retorno
26/07 - Enviado ao Administrativo</t>
  </si>
  <si>
    <t>HELLEN JARJOUR</t>
  </si>
  <si>
    <t>ATA 021/2016</t>
  </si>
  <si>
    <t>DIVAL</t>
  </si>
  <si>
    <t>599/2014</t>
  </si>
  <si>
    <t>SIM. VENC. 25/08/2018</t>
  </si>
  <si>
    <t>Prorrogação excepcional. Plano de trabalho p/ nova contratação enviado ao DAL em 23/07/18, conf. Memorando nº 003/CEPESC.</t>
  </si>
  <si>
    <t>contratação enviado ao DAL em 23/07/18, conf. Mem.</t>
  </si>
  <si>
    <t>nº 003/DIVAT/COINF/CGTIC/CEPESC</t>
  </si>
  <si>
    <t>SIMPRESS</t>
  </si>
  <si>
    <t>Prorrogação emergencial. Licitação em andamento</t>
  </si>
  <si>
    <t xml:space="preserve">Prazo inferior a 120 dias - 100 - </t>
  </si>
  <si>
    <t xml:space="preserve">Prazo inferior a 120 dias - 98 - </t>
  </si>
  <si>
    <t xml:space="preserve">Prazo inferior a 120 dias - 76 - </t>
  </si>
  <si>
    <t xml:space="preserve">Prazo inferior a 120 dias - 79 - </t>
  </si>
  <si>
    <t xml:space="preserve">Prazo inferior a 120 dias - 43 - </t>
  </si>
  <si>
    <t xml:space="preserve">Prazo inferior a 120 dias - 44 - </t>
  </si>
  <si>
    <t>NÃO. VENC. 29/05</t>
  </si>
  <si>
    <t xml:space="preserve">Prazo inferior a 120 dias - 87 - </t>
  </si>
  <si>
    <t xml:space="preserve">Prazo inferior a 120 dias - 102 - </t>
  </si>
  <si>
    <t>120 DIAS</t>
  </si>
  <si>
    <t>116 DIAS</t>
  </si>
  <si>
    <t>Prazo inferior a 120 dias - 42- SEM justificativa</t>
  </si>
  <si>
    <t>PRAZO DE ENTREGA</t>
  </si>
  <si>
    <t>Prazo inferior a 120 dias - 12 - COM justificativa</t>
  </si>
  <si>
    <t xml:space="preserve">Prazo inferior a 120 dias - 22 - </t>
  </si>
  <si>
    <t>SUPERIOR A 120 DIAS</t>
  </si>
  <si>
    <t>Prazo inferior a 120 dias- 88- SEM justificativa</t>
  </si>
  <si>
    <t>Prazo inferior a 120 dias- 26- SEM justificativa</t>
  </si>
  <si>
    <t>E-MAIL ENCAMINHADO EM 29/01/2018</t>
  </si>
  <si>
    <t xml:space="preserve">Prazo inferior a 120 dias - 9 - </t>
  </si>
  <si>
    <t>Prazo inferior a 120 dias- 90- SEM justificativa</t>
  </si>
  <si>
    <t xml:space="preserve">Prazo inferior a 120 dias - 29 dias -  justificativa </t>
  </si>
  <si>
    <t xml:space="preserve">Prazo inferior a 120 dias - 93 -COM  justificativa. </t>
  </si>
  <si>
    <t>BLACK HAT/DEFCON</t>
  </si>
  <si>
    <t>INSCRIÇÃO DE SERVIDORES EVENTO INTERNACIONAL</t>
  </si>
  <si>
    <t>1054/2018-58</t>
  </si>
  <si>
    <t>31/07 - Distribuição. Carla em substituição férias Renato</t>
  </si>
  <si>
    <t>INSCRIÇÃO DE SERVIDOR EVENTO EXTERNO</t>
  </si>
  <si>
    <t>1367/2018-14</t>
  </si>
  <si>
    <t>JOÃO MOURA DA COSTA -ME</t>
  </si>
  <si>
    <t xml:space="preserve">SERVIÇO DE DEDETIZAÇÃO </t>
  </si>
  <si>
    <t>0873/2018-88</t>
  </si>
  <si>
    <t>CS SERVIÇOS ELÉTRICOS</t>
  </si>
  <si>
    <t>DESINSTALAÇÃO E INSTALAÇÃO AR CONDICIONADO</t>
  </si>
  <si>
    <t>0543/2018-92</t>
  </si>
  <si>
    <t>583/2017</t>
  </si>
  <si>
    <t>CEBRASPE</t>
  </si>
  <si>
    <t>CONCURSO PÚBLICO</t>
  </si>
  <si>
    <t>03/05 - Distribuição
23/07 - Chefia Colicon/assinatura DAL
30/07 - Retorno
31/07 - Enviado ao Administrativo</t>
  </si>
  <si>
    <t>P/ REGISTRO NO SIPAC E INCLUSÃO NOS AUTOS. E-MAIL AOS FISCAIS PARA ENCAMINHAR DOCUMENTAÇÃO COMPLEMENTAR, AGUARDANDO.</t>
  </si>
  <si>
    <t>MENTAR, AGUARDANDO.</t>
  </si>
  <si>
    <t>560/2015</t>
  </si>
  <si>
    <t>PROCESSO DE PAGAMENTO Nº 1322/17 P/ ARQUIVO,CONTRATO FINALIZADO NO SIPAC</t>
  </si>
  <si>
    <t>FINALIZADO NO SIPAC E REGISTRADO
NA PLANILHA DE ENCERRAMENTO EM 31/07</t>
  </si>
  <si>
    <t xml:space="preserve">EDITHAL </t>
  </si>
  <si>
    <t>PROCESSO DE PAGAMENTO Nº 1319/17 P/ ARQUIVO,CONTRATO FINALIZADO NO SIPAC</t>
  </si>
  <si>
    <t>619/2014</t>
  </si>
  <si>
    <t>07/05 - Distribuição
01/08 - Aguardando conclusão do termo aditivo sobre a revisão trabalhista para dar continuidade ao processo de repactuação</t>
  </si>
  <si>
    <t>LUCIVALDA SOUSA SANTANA</t>
  </si>
  <si>
    <t>FORNECIMENTO E INSTALAÇÃO DE PELÍCULA</t>
  </si>
  <si>
    <t>0998/2018-16</t>
  </si>
  <si>
    <t>01/08 - Distribuição</t>
  </si>
  <si>
    <t>1136/2017-11</t>
  </si>
  <si>
    <t xml:space="preserve">CENTRO OESTE </t>
  </si>
  <si>
    <t>DESINSETIZAÇÃO</t>
  </si>
  <si>
    <t>TECNO SEG INFORMATICA</t>
  </si>
  <si>
    <t>MATERIAL PARA PLOTADORA</t>
  </si>
  <si>
    <t>0401/2018-25</t>
  </si>
  <si>
    <t>SAMF/SC- REPASSE DESPESAS CONDOMINIO</t>
  </si>
  <si>
    <t>TERMO ADITIVO ASSINADO</t>
  </si>
  <si>
    <t>FAMA SERVICE</t>
  </si>
  <si>
    <t>APÓLICE SEGURO GARANTIA</t>
  </si>
  <si>
    <t>532/2018</t>
  </si>
  <si>
    <t>SIGMA DATASERV</t>
  </si>
  <si>
    <t>OFÍCIO Nº 136/2018</t>
  </si>
  <si>
    <t>192/11</t>
  </si>
  <si>
    <t>NÃO. VENC. 09/11/2018</t>
  </si>
  <si>
    <t>Prazo inferior a 120 dias - 96- COM justificativa</t>
  </si>
  <si>
    <t>ASSINATURA PERIÓDICOS</t>
  </si>
  <si>
    <t>0377/2018-24</t>
  </si>
  <si>
    <t>FORMALIZAÇÃO DE ATA</t>
  </si>
  <si>
    <t>RD MÓVEIS E LAYOUT MÓVEIS- ATA DE REGISTRO DE PREÇO</t>
  </si>
  <si>
    <t>AQUISIÇÃO DE MÓVEIS</t>
  </si>
  <si>
    <t>2240/2017-23</t>
  </si>
  <si>
    <t>0275/2018-17</t>
  </si>
  <si>
    <t>LINNE PATRIMONIAL</t>
  </si>
  <si>
    <t>LOCAÇÃO DE IMÓVEL</t>
  </si>
  <si>
    <t>PLUS SERVICE</t>
  </si>
  <si>
    <t>08/05 - Distribuição
Aguardando conclusão da repactuação
10/07 - Chefia Colicon/ ASJUR
23/07 - Retorno ao analista
24/07 - Enviado para DO
02/08 - Retorno analista
03/08 - Chefia Colicon/DAL para assinatura
07/08 - Enviado ao administrativo</t>
  </si>
  <si>
    <t>NA DIVCOL A PARTIR DE 07/08/2018.</t>
  </si>
  <si>
    <t>0248/2018-36</t>
  </si>
  <si>
    <t xml:space="preserve">SIM. CONTRATO ATUAL VENCE EM 
08/08. </t>
  </si>
  <si>
    <t>OBS: RECEBIDO NA DIVCON EM 07/08.</t>
  </si>
  <si>
    <t>0925/2018-16</t>
  </si>
  <si>
    <t>AQUISIÇÃO SERVIDORES- LABORATÓRIO BIG DATA</t>
  </si>
  <si>
    <t>DELL COMPUTADORES</t>
  </si>
  <si>
    <t>Eduardo e Paulo na DIVCOL em 07/08.</t>
  </si>
  <si>
    <t>NÃO. VENC. 18/12/2018</t>
  </si>
  <si>
    <t>PAULO E EDUARDO NA DIVCOL EM 07/08.</t>
  </si>
  <si>
    <t xml:space="preserve">29/05 - Distribuição. Aguardando decisão do Superintendente acerca da prorrogação
10/07 - Determinação para analisar e encaminhar à ASJUR
16/07 - Chefia Colicon/ASJUR
27/07 - Retorno
30/07 - Declaração Orçamentária
02/8 - Cancelada a prorrogação por solicitação do SEPA
</t>
  </si>
  <si>
    <t>AQUISIÇÃO COMBUSTÍVEL</t>
  </si>
  <si>
    <t>COTAÇÃO ELETRÔNICA 021/2016- MATERIAL DE CONSUMO</t>
  </si>
  <si>
    <t>0130/2016-46</t>
  </si>
  <si>
    <t>SANÇÃO PARA CADASTRO NO SIPAC REF. AO EMPENHO CONTRATO 89/2016.</t>
  </si>
  <si>
    <t>OBS: APÓS O REGISTRO DA SANÇÃO DEVOLVER P/ MARIA FINALIZAR NO SIPAC.</t>
  </si>
  <si>
    <t>FINO SABOR</t>
  </si>
  <si>
    <t xml:space="preserve">PROCESSO DE SANÇÃO PARA ANEXAÇÃO AO PROC. 0376/2017-07 </t>
  </si>
  <si>
    <t>1639/2017-97</t>
  </si>
  <si>
    <t>AX4B SISTEMAS</t>
  </si>
  <si>
    <t xml:space="preserve">PROCESSO DE SANÇÃO PARA ANEXAÇÃO AO PROC. 0848/2017-13 </t>
  </si>
  <si>
    <t>2072/2017-76</t>
  </si>
  <si>
    <t>PROCESSO DE SANÇÃO PARA ANEXAÇÃO AO PROC. 00091.001106/2015-43.</t>
  </si>
  <si>
    <t>0648/2018-41</t>
  </si>
  <si>
    <t>REDISTRIBUIÇÃO. ESTAVA COM PAULO</t>
  </si>
  <si>
    <t>REDISTRIBUIÇÃO, ESTAVA COM PAULO</t>
  </si>
  <si>
    <t>REDISTRIBUÍDO. EDUARDO NA DIVCOL EM 07/08.</t>
  </si>
  <si>
    <t>REDISTRIBUIÇÃO, ESTAVA COM EDUARDO</t>
  </si>
  <si>
    <t>SIM. INÍCIO DA VIGÊNCIA EM 13/08</t>
  </si>
  <si>
    <t>AQUISIÇÃO LICENÇA DE SOFTWARE IBM i2</t>
  </si>
  <si>
    <t>0671/2018-36</t>
  </si>
  <si>
    <t>GÁS LIQUEFEITO</t>
  </si>
  <si>
    <t>ASSOCIATION FOR COMPUTING MACHINERY</t>
  </si>
  <si>
    <t>INSCRIÇÃO DE SERVIDOR EM EVENTO EXTERNO</t>
  </si>
  <si>
    <t>1271/2018-48</t>
  </si>
  <si>
    <t>08/08 - Distribuição;                                                                                   15/08 - Concluído</t>
  </si>
  <si>
    <t>1136/2017-11          537/2018</t>
  </si>
  <si>
    <t>13/03 - Distribuição
02/05 - Apostilamento Colicon/DAL 
10/05 - Retorno em 10/05.
10/05 - Enviado ao administrativo
16/05 - Prorrogação - ASJUR
24/05 - Retorno da ASJUR
24/05 - Declaração Orçamentária
29/05 - Retorno da CGOF
14/06 - Assinatura DAL
18/06 - Retorno
09/08 - publicação no DOU;                                                                     15/08 - Conclusão</t>
  </si>
  <si>
    <t>16/02 - Distribuição
05/03 - Colicon/DAL
12/03 - Retorno ao analista               
12/03 - Administrativo</t>
  </si>
  <si>
    <t>16/02 - Distribuição                                    
14/03 - Colicon/ASJUR                               
19/04 - Assinatura DAL              
24/04 - Administrativo</t>
  </si>
  <si>
    <t>23/04 - Distribuição
26/04 - Colicon/ASJUR
14/05-   Retorno ao analista                   
16/05 - Assinatura DAL 
18/05 - Retorno ao analista           
18/05 - Administrativo</t>
  </si>
  <si>
    <t>02/04 - Distribuição
02/04 - Retorno contrato assinado          
02/04 - Administrativo</t>
  </si>
  <si>
    <t>28/05 - Distribuição
04/06 - Colicon/DAL assinatura
06/06 - Retorno                                         
06/06 - Administrativo</t>
  </si>
  <si>
    <t xml:space="preserve">15/12 - Distribuição                 
17/01 - Assinatura DAL                           
09/02 - Retorno p/ alteracão minuta                                               
19/02 - Reenvio ASJUR                       
07/05 - Envio CEGOF ajuste DO         
09/05 - Administrativo                                                             </t>
  </si>
  <si>
    <t>04/06 - Distribuição
08/06 - Colicon/DAL assinatura
11/06 - Retorno                                
11/06 - Administrativo</t>
  </si>
  <si>
    <t>13/06 - Distribuição                      
19/06 - Colicon/DAL assinatura
21/06 - Retorno
21/06 - Administrativo</t>
  </si>
  <si>
    <t>14/08 - Distribuição;                                                                                   16/08 - Concluído</t>
  </si>
  <si>
    <t>SEGURO GARANTIA</t>
  </si>
  <si>
    <t>584/2017</t>
  </si>
  <si>
    <t>NÃO. VENC. 17/12/2018</t>
  </si>
  <si>
    <t>MULT ADMINISTRADORA</t>
  </si>
  <si>
    <t xml:space="preserve">LOCAÇÃO </t>
  </si>
  <si>
    <t>0923/2018-27</t>
  </si>
  <si>
    <t>M.1 - CONSULTORIA</t>
  </si>
  <si>
    <t>AQUISIÇÃO DE EQUIPAMENTO DE ÁUDIO</t>
  </si>
  <si>
    <t>13/07 - Distribuição
17/07 - Chefia Colicon/assiantura DAL
19/07 - Enviado ao Administrativo                                                                  19/07 - Encaminhado para assinatura                                                         08/08 - Retorno ao administrativo assinado;                                        16/08 - Conluído</t>
  </si>
  <si>
    <t>625/2014</t>
  </si>
  <si>
    <t xml:space="preserve">EMPRESA DE CORREIOS </t>
  </si>
  <si>
    <t>SERVIÇOS DE POSTAGEM</t>
  </si>
  <si>
    <t>DIVPROG</t>
  </si>
  <si>
    <t>566/2017</t>
  </si>
  <si>
    <t>NÃO. VENC. 02/01/2019</t>
  </si>
  <si>
    <t>ECOSENSE AMBIENTAL</t>
  </si>
  <si>
    <t>COLETA E TRANSPORTE DE RESÍDUOS</t>
  </si>
  <si>
    <t>20/08 - Distribuição
20/08 - realizado contato com a ECT onde verificou-se a inexistência de necessidade de repactuação do contrato, somente providências quanto ao cadastramento no SEI.
20/08 - Chefia da Divcon
20/08 - Chefia da Colicon para encaminhamento à DAL</t>
  </si>
  <si>
    <t>21/06 - Distribuição. Alteração do cronograma de desembolso mensal para trimestral.
27/06 - Colicon/ASJUR
12/07 - Retorno Analista
17/07 - Chefia Colicon/assinatura DAL
18/07 - Administrativo                                                                                      19/07 - Encaminhado para assinatura - SESC                                            03/08 - Retorno da SESC Assinado;                                                      20/08 - Concluído.</t>
  </si>
  <si>
    <t>14/08 - Distribuição
20/08 - Chefia COLICON para assinatura da DAL
21/08 - Retorno assinado</t>
  </si>
  <si>
    <t>SIM. VENC. 31/10/2018</t>
  </si>
  <si>
    <t>Prazo inferior a 120 dias - 70- SEM justificativa</t>
  </si>
  <si>
    <t>MANUTENÇÃO DA SEDE</t>
  </si>
  <si>
    <t>01/08 - Distribuição
10/08 - Chefia da Divcon
13/08 - Chefia Colicon/ DAL assinatura
14/08 - Retorno assinado                                                                                14/08 - Agendamento da assinatura para 15/08                                          15/08 - Contrato assinado na ABIN;                                                       21/08 - Concluído</t>
  </si>
  <si>
    <t>ARIANA COMÉRCIO</t>
  </si>
  <si>
    <t>MANUTENÇÃO EXTINTORES DE INCÊNDIO</t>
  </si>
  <si>
    <t>1416/2018-19</t>
  </si>
  <si>
    <t>ASSOCIAÇÃO BRASILEIRA DE ORÇAMENTO PÚBLICO</t>
  </si>
  <si>
    <t>1569/2018-58</t>
  </si>
  <si>
    <t>26/07 - Distribuição
27/07 - Enviado e-mail solicitando complementação da instrução do processo por não haver possibilidade de prorrogação
07/08 - Despacho nº 002/2018 CEPESC- complementação
07/08 - Chefia Colicon/ ASJUR
20/08 - Retorno
20/08 - Encaminhado  CGOF para ajuste de DO
21/08 - Retorno da CGOF
22/08 - Chefia Colicon para assinatura da DAL</t>
  </si>
  <si>
    <t>PROCESSO DE SANÇÃO PARA ANEXAÇÃO AO PROC. MÃE 01180.001757/2013-00</t>
  </si>
  <si>
    <t>2071/2017-21</t>
  </si>
  <si>
    <t>EMPRESSERV- CONTRATO Nº 586/13</t>
  </si>
  <si>
    <t>OBS: SEM REGISTRO DE PENALIDADE</t>
  </si>
  <si>
    <t>INFRAERO - CESSÃO DE USO</t>
  </si>
  <si>
    <t>DESPACHO- SUSPENSÃO DO TERMO</t>
  </si>
  <si>
    <t>609/2014</t>
  </si>
  <si>
    <t>MARIA</t>
  </si>
  <si>
    <t>INFRAERO</t>
  </si>
  <si>
    <t>CESSÃO DE USO DE ÁREA</t>
  </si>
  <si>
    <t>06/08 - Distribuído para Maria
17/08 - Despacho enviado para assinatura COLICON, CGAD E DAL
21/08 - Retorno assinado
23/08 - Comunicação aos fiscais e ao Superintendente por e-mail</t>
  </si>
  <si>
    <t>0281/2018-66</t>
  </si>
  <si>
    <t>RICARDO DE SOUZA</t>
  </si>
  <si>
    <t>MANUTENÇÃO PREDIAL</t>
  </si>
  <si>
    <t>AQUISIÇÃO ROTEADORES</t>
  </si>
  <si>
    <t>530/2018</t>
  </si>
  <si>
    <t>STEEL SOLUTION</t>
  </si>
  <si>
    <t>DESMONTAGEM MATERIAL</t>
  </si>
  <si>
    <t>541/2017</t>
  </si>
  <si>
    <t xml:space="preserve">24/08 - Distribuição para Maria. Encaminhado à CGOF para manifestação de aspectos orçamentário. </t>
  </si>
  <si>
    <t>16/05 - Distribuição - Reforma Trabalhista
06/06 - Ofício encaminhado
21/06 - Aviso de recebimento
05/07 - Chefia Colicon/ ASJUR
19/07 - Retorno ao analista
23/07 - Chefia Colicon/ DAL
assinatura
25/07 - Retorno
26/07 - À CGOF
31/07 - Retorno
01/08 - Administrativo                                                                                        01/08 - Encaminhado para assinatura - SEPE                                            21/08 - Retorno ao administrativo;                                                          24/08 - Concluído.</t>
  </si>
  <si>
    <t>07/08 - Distribuição
15/08 - Chefia Colicon para assinatura da DAL
16/08 - Retorno assinado
17/08 - À CGOF ajuste de DO
21/08 - Retorno da CGOF
21/08 - Administrativo                                                                                       22/18 - Publicação no DOU para 23/08;                                                24/08 - Concluído.</t>
  </si>
  <si>
    <t>04/04 - Distribuição
26/04 - Aguardando pesquisa de preço do fiscal
30/05 - Colicon/ASJUR
15/06 - Retorno
18/06 - CGOF
21/06 - Retorno
22/06 - Colicon/DAL assinatura
25/06 - Enviado ao administrativo                                                                    25/06 - Emcaminhado para assinatura - SEPE                                          30/07 - SEPE informa via e-mail que malote com o TAC foi extraviado.   24/07 - Publicação do Termo Aditivo no D.O.U</t>
  </si>
  <si>
    <t>GILBERTO HISSA - LOCAÇÃO IMÓVEL CONTRATO Nº 590/2014</t>
  </si>
  <si>
    <t>590/2014</t>
  </si>
  <si>
    <t>MEMORANDO Nº 143/SERR - INAPLICABILIDADE DE REAJUSTE DE PREÇO PELO IGPM</t>
  </si>
  <si>
    <t>COLOCAR NO PROCESSO</t>
  </si>
  <si>
    <t>OBJETIVA</t>
  </si>
  <si>
    <t>EDITAL DE CONVOCAÇÃO P/ PUBLICAÇÃO NO DOU- ASSUNTO: OFÍCIO DESONERAÇÃO FOLHA DE PAGAMENTO CONTRATO 549/2012</t>
  </si>
  <si>
    <t>549/2012</t>
  </si>
  <si>
    <t>14/08 - Distribuído para Maria. Prorrogação do prazo de entrega, autorização por Despacho da DAL.
24/08 - Chefia Colicon para autorização da DAL.
28/08 - Retorno. Encaminhado ao setor administrativo para comunicação à área requisitante com cópia do Despacho.</t>
  </si>
  <si>
    <t>29/05 - Distribuição
08/06 - Colicon/DAL assinatura
09/06 - Enviado ao administrativo                                                                    14/06 - Encaminhado a empresa                                                                   30/06 - Retorno ao Administrativo</t>
  </si>
  <si>
    <t>ENERGISA MATO GROSSO</t>
  </si>
  <si>
    <t>MEM. Nº 116/SEMT- COMUNICADO DE DESLIGAMENTO DE ENERGIA ANTIGA SEDE</t>
  </si>
  <si>
    <t>GILBERTO HISSA - LOCAÇÃO IMÓVEL</t>
  </si>
  <si>
    <t>MEM. 143/SERR- CONCORDÂNCIA DO LOCADOR PELO NÃO REAJUSTE DE PREÇOS CONF. IGP</t>
  </si>
  <si>
    <t>CAPACITAÇÃO DE SERVIDORES- CURSO CAI</t>
  </si>
  <si>
    <t>800/2018</t>
  </si>
  <si>
    <t xml:space="preserve">ENAP </t>
  </si>
  <si>
    <t>SAMF-SP MIN. DA FAZENDA SÃO PAULO</t>
  </si>
  <si>
    <t>801/2017</t>
  </si>
  <si>
    <t>NÃO. VENC. 22/11/2018</t>
  </si>
  <si>
    <t>Prazo inferior a 120 dias - 82 - COM justificativa</t>
  </si>
  <si>
    <t>SICUREZZA GESTÃO</t>
  </si>
  <si>
    <t>MINISTRAR CURSO DE PLANEJAMENTO EM SEGURANÇA ELETRÔNICA</t>
  </si>
  <si>
    <t>DENISE DE ARAGÃO</t>
  </si>
  <si>
    <t>CONTRATAÇÃO DE PROFESSOR EXTERNO</t>
  </si>
  <si>
    <t>OTRS DO BRASIL</t>
  </si>
  <si>
    <t>PARTICIPAÇÃO DE SERVIDOR EM EVENTO EXTERNO</t>
  </si>
  <si>
    <t>28/08 - TED já formalizado encaminhado ao Administrativo para registro no SIPAC.                                                                                      30/08 - Concluído.</t>
  </si>
  <si>
    <t>13/08 - Distribuição
14/08 - Chefia da DIVCON
16/08 - Aguardando documento de autorização para único sócia assinar o contrato- enviado email à empresa
20/08 - enviado arquivo em PDF à empresa para assinatura do representante
21/08 - Chefia da Divcon
21/08 - Chefia da Colicon para assinatura da DAL
22/08 - Retorno assinado
22/08 - Administrativo;                                                                               30/08 - Concluído.</t>
  </si>
  <si>
    <t>1059/2017-08      535/2018</t>
  </si>
  <si>
    <t>13/07 - Distribuição
23/07 - Contrato enviado por email à SEPE para assinatura
30/07 - Retorno Contrato assinado pela Contratada
31/07 - Chefia Colicon/DAL para assinatura
06/08 - Retorno assinado
06/08 - Enviado ao Administrativo
06/08 - Enviado à SEPE a via da empresa                                                    21/08 - Retorno ao Administrativo;                                                          30/08 - Concluído.</t>
  </si>
  <si>
    <t xml:space="preserve">10/04 - Distribuição
07/05 - Colicon/DAL
18/05 - Enviado ao Administrativo                                                                   21/08 - Encaminhado para assinatura                                                         30/08 - 4º Termo Aditivo TED nº 02/2015  no SIPAC </t>
  </si>
  <si>
    <t>541/2018</t>
  </si>
  <si>
    <t>21/08 - Distribuição;                                                                                   31/08 - Concluído.</t>
  </si>
  <si>
    <t>08/05 - Distribuição
20/07 - Aguardando retorno fiscal em relação ao de acordo da Cessionária
26/07 - Encaminhado e-mail para DIVCON informando sobre a falta de retorno do executor
27/07 - DAL informou que efetuará contato junto ao MP para resolução da demanda
13/08 - Recebimento documentação complementar
14/08 - Chefia Colicon/ASJUR
17/08 - Assinatura da DAL
21/08 - Retorno assinado
22/08 - Encaminhado CGOF p/ ajuste de DO
23/08 - Administrativo;                                                                               31/08 - Concluído.</t>
  </si>
  <si>
    <t>16/05 - Distribuição
18/06 - Alteração de CLT
25/07 - Chefia Colicon/ASJUR
02/08 - Retorno ASJUR
06/08 - Chefia da Divcon
13/08 - Chefia Colicon para assinatura DAL
14/08 - Retorno assinado                                                                                15/08 - Retirado na ABIN para assinatura na empresa
21/08 - Retorno assinado                                                                                30/08 - 4º Termo Aditivo no SIPAC - Supressão;                                  31/08 - Concluído.</t>
  </si>
  <si>
    <t>16/05 - Distribuição - Reforma Trabalhista
06/06 - Oficio encaminhado
25/06 - Colicon/ASJUR
16/07 - Retorno ao analista
18/07 - Chefia Colicon/ assinatura DAL
20/07 - Retorno ao analista
20/07 - Administrativo                                                                                      20/07 - Encaminhado para assinatura - SERJ                                           29/07 -Supressão no SIPAC;                                                                   31/08 - Concluído.</t>
  </si>
  <si>
    <t>03/09 - Distribuição. Questionamento ao 6º TAC Reforma Trabalhista</t>
  </si>
  <si>
    <t>0525/2018-19</t>
  </si>
  <si>
    <t>JOSÉ AVAILTON DA CUNHA</t>
  </si>
  <si>
    <t>SERVIÇO DE DEDETIZAÇÃO</t>
  </si>
  <si>
    <t>CEPISA PIAUÍ</t>
  </si>
  <si>
    <t>P02019/2017-75
C0547/2018</t>
  </si>
  <si>
    <t>P0503/18-41
C0529/2018</t>
  </si>
  <si>
    <t>ACADEMIE DE DROIT</t>
  </si>
  <si>
    <t>P01582/2018-15</t>
  </si>
  <si>
    <t>HOFSTRA  UNIVERSITY</t>
  </si>
  <si>
    <t>INSCRIÇÃO DE SERVIDOR EM CURSO NO EXTERIOR - UVER OLIVEIRA</t>
  </si>
  <si>
    <t>INSCRIÇÃO DE SERVIDOR EM CURSO NO EXTERIOR - FELIPE ROCHA</t>
  </si>
  <si>
    <t xml:space="preserve">INSCRIÇÃO DE SERVIDOR EM CURSO NO EXTERIOR- THIAGO COSTA E CLAUDIO </t>
  </si>
  <si>
    <t>TELESTRATEGIES</t>
  </si>
  <si>
    <t>INSCRIÇÃO DE SERVIDOR EM CURSO NO EXTERIOR- DOINT</t>
  </si>
  <si>
    <t>P0925/2018
C0542/2018</t>
  </si>
  <si>
    <t>P1550/2017</t>
  </si>
  <si>
    <t>P0525/2018-19
C0546/2018</t>
  </si>
  <si>
    <t>P0601/2016 -16               
C528/2016</t>
  </si>
  <si>
    <t xml:space="preserve">ALLTECH E INGRAM </t>
  </si>
  <si>
    <t>LICENÇA E SUBSCRIÇÃO REDE HAT</t>
  </si>
  <si>
    <t>CORA CONSTRUTORA E MEGA COMERCIAL</t>
  </si>
  <si>
    <t>AQUISIÇÃO DE AR CONDICIONADO</t>
  </si>
  <si>
    <t>30/08 - Distribuição;                                                                         Conclusão - 10/09</t>
  </si>
  <si>
    <t>1426/2018-46;    C - 144/2018</t>
  </si>
  <si>
    <t>07/08 - Distribuição
15/08 - Chefia Colicon para assinatura da DAL
16/08 - Retorno assinado                                                                              17/08 - Retirado na ABIN para assinatura da empresa                             22/08 - Retorno  da empresa assinado;                                       Concluído - 10/09</t>
  </si>
  <si>
    <t>07/08 - Distribuição
09/08 - Chefia Divcon
15/08 - Chefia Colicon para assinatura da DAL
16/08 - Retorno assinado
16/08 - Administrativo                                                                                         17/08 - Encaminhado a Superintendência para assinatura;                10/09 - Concluído.</t>
  </si>
  <si>
    <t>TELEBRÁS</t>
  </si>
  <si>
    <t>510/2018</t>
  </si>
  <si>
    <t>PEDIDO DE REEQUILÍBRIO ICMS. CARTA Nº 1/18</t>
  </si>
  <si>
    <t>AGUINALDO 
E CAMILA</t>
  </si>
  <si>
    <t xml:space="preserve">ENTREGUE NA DIVCON E ENCAMINHADO AOS FISCAIS </t>
  </si>
  <si>
    <t>NÃO. VENC. 01/02/2019</t>
  </si>
  <si>
    <t>PROSEG</t>
  </si>
  <si>
    <t>C0506/2015</t>
  </si>
  <si>
    <t>11/09 - Distribuição</t>
  </si>
  <si>
    <t>1281/2018-83</t>
  </si>
  <si>
    <t>ESPAÇO &amp; FORMA MÓVEIS</t>
  </si>
  <si>
    <t>FORNECIMENTO E INSTALAÇÃO DE PAINÉIS E DIVISÓRIAS</t>
  </si>
  <si>
    <t>FUNDAÇÃO GETULIO VARGAS</t>
  </si>
  <si>
    <t>CURSO DE GESTÃO INTEGRADA EM INTELIGÊNCIA PÓS-GRADUAÇÃO</t>
  </si>
  <si>
    <t>P01399/2018-10</t>
  </si>
  <si>
    <t>INSCRIÇÃO DE SERVIDORES EM CURSO DE INFORMÁTICA</t>
  </si>
  <si>
    <t>P01384/2018-43</t>
  </si>
  <si>
    <t>2266/2017-71</t>
  </si>
  <si>
    <t>ANDRE EDUARDO</t>
  </si>
  <si>
    <t>PROJETO DE MODERNIZAÇÃO DE INSTALAÇÕES ELÉTRICAS E SUBESTAÇÕES</t>
  </si>
  <si>
    <t>23/07 - Distribuição
04/09 - Chefia Colicon para assinatura da Diretora
11/09 - Administrativo;                                                                               12/09 - Conclusão.</t>
  </si>
  <si>
    <t>03/09 - Distribuição
03/09 - Chefia Divcon
04/09 - Chefia Colicon para assinatura da DAL
05/09 - Retorno assinado
05/09 - Administrativo;                                                                                13/09 - Enviado à empresa</t>
  </si>
  <si>
    <t>11/09 - Distribuição - Instrução inicial;                                                   13/09 - Concluído.</t>
  </si>
  <si>
    <t>P02266/2017-71
C0549/2018</t>
  </si>
  <si>
    <t>P01281/2018-83
C0548/2018</t>
  </si>
  <si>
    <t>11/09 - Distribuição
12/09 - Chefia Divcon
13/09 - Chefia Colicon para assinatura da DAL
13/09 - Retorno assinado
13/09 - Administrativo</t>
  </si>
  <si>
    <t xml:space="preserve">ONE CURSOS </t>
  </si>
  <si>
    <t>CURSO DE DESFAZIMENTO DE BENS MÓVEIS À LUZ DO DECRETO FEDERAL 9.373</t>
  </si>
  <si>
    <t>582/2017</t>
  </si>
  <si>
    <t>NÃO. VENC. 30/12/2018</t>
  </si>
  <si>
    <t>Prazo inferior a 120 dias - 104 - COM justificativa</t>
  </si>
  <si>
    <t>HARDOIM &amp; HARDOIM</t>
  </si>
  <si>
    <t>C0582/2017</t>
  </si>
  <si>
    <t>11/07 - Distribuição. Redistribuido para André. 
03/09 - Chefia Colicon para assinatura da DAL
11/09 - Administrativo;                                                                               17/09 - Concluído.</t>
  </si>
  <si>
    <t>CLOUDBEES INC</t>
  </si>
  <si>
    <t>INCRIÇÃO DE SERVIDORES EM EVENTO INTERNACIONAL - DEVOPS - DOUGLAS CARDOSO NOGUEIRA</t>
  </si>
  <si>
    <t>MASATOSHI B. NISHIZAWA - ME</t>
  </si>
  <si>
    <t>P01532/2018-20</t>
  </si>
  <si>
    <t>AQUISIÇÃO DE FERRAMENTAS</t>
  </si>
  <si>
    <t>A FERRAGISTA; CGF COMÉRCIO; EMBRAR; FERGAVI; PRESTOBAT</t>
  </si>
  <si>
    <t>18/09 - Distribuição</t>
  </si>
  <si>
    <t>16/05 - Distribuição
11/06 - Colicon/DAL assinatura
19/06 - Retorno
25/06 - Enviado ao Administrativo                                                                   13/08 - Encaminhado para Assinatura                                                            05/09 - Retorno do 3º TAC;                                                                       18/09 - Concluído.</t>
  </si>
  <si>
    <t>21/08 - Distribuição;                                                                                   18/09 - Concluído.</t>
  </si>
  <si>
    <t>0290/2018 - 57</t>
  </si>
  <si>
    <t>ONE CURSOS</t>
  </si>
  <si>
    <t>INSCRIÇÃO EM CURSO WILLIAN</t>
  </si>
  <si>
    <t>1697/2018</t>
  </si>
  <si>
    <t>INSCRIÇÃO EM EVENTO INTERNACIONAL - DEVOPS - DOUGLAS CARDOSO NOGUEIRA</t>
  </si>
  <si>
    <t>1591/2018-06</t>
  </si>
  <si>
    <t>1532/2018</t>
  </si>
  <si>
    <t>0957/2018</t>
  </si>
  <si>
    <t>JOSÉ ADEILDO; HB; BSB; MSXIM; LG; IPÊ; ROSINEIDE</t>
  </si>
  <si>
    <t>AQUISIÇÃO DE MATERIAL DE EXPEDIENTE</t>
  </si>
  <si>
    <t>0684/2017</t>
  </si>
  <si>
    <t>CONFEDERAÇÃO NACIONAL DAS INSTITUIÇÕES FINANCEIRAS</t>
  </si>
  <si>
    <t>INSCRIÇÃO EM CONGRESSO - RICARDO FRANÇA</t>
  </si>
  <si>
    <t>1712/2018-10</t>
  </si>
  <si>
    <t>ABOP</t>
  </si>
  <si>
    <t>INCRIÇÃO EM CURSO - MARIA ROSILEIDE</t>
  </si>
  <si>
    <t>1699/2018-91</t>
  </si>
  <si>
    <t>ATLANTIS</t>
  </si>
  <si>
    <t>AQUISIÇÃO DE PRENDEDOR E PROTETOR DE CRACHÁ</t>
  </si>
  <si>
    <t>1571/2018-27</t>
  </si>
  <si>
    <t>P1571/2018-27</t>
  </si>
  <si>
    <t>PABLO/COMERCIAL MINAS/DDS/JOÃO BOSCO/ECOPLAST/TDF</t>
  </si>
  <si>
    <t>P0290/2018-57</t>
  </si>
  <si>
    <t>AQUISIÇÃO DE LIXEIRAS DE COLETA SELETIVA - ATA</t>
  </si>
  <si>
    <t>04/09 - Distribuição;                                                                                   18/09 - Concluído.</t>
  </si>
  <si>
    <t>11/09 - Distribuição;                                                                                   19/09 - Concluído</t>
  </si>
  <si>
    <t>519/2018</t>
  </si>
  <si>
    <t>P2084/17-09
C0519/2018</t>
  </si>
  <si>
    <t>P1549/2017-04
C0510/2018</t>
  </si>
  <si>
    <t xml:space="preserve">P674/2016
C520/2016
</t>
  </si>
  <si>
    <t>P291/2014
C589/2014</t>
  </si>
  <si>
    <t>16/05 - Distribuição - Reforma Trabalhista
25/07 - Chefia Colicon/ASJUR
13/08 - Retorno da ASJUR. Encaminhado ao analista
15/08 - Enviado ao DAL
16/08 - Retorno assinado                                                                                 17/08 - Encaminhado a Superintendência para assinatura
10/09 - Retorno do Termo</t>
  </si>
  <si>
    <t>LACEA</t>
  </si>
  <si>
    <t>INSCRIÇÃO EM EVENTO INTERNACIONAL - LACEA - Eduardo Cunha e Bruno Seixas</t>
  </si>
  <si>
    <t>1702/2018-76</t>
  </si>
  <si>
    <t>INSCRIÇÃO EM EVENTO INTERNACIONAL - Eduardo e Bruno</t>
  </si>
  <si>
    <t>16/05 - Distribuição- Reforma Trabalhista
07/06 - Ofício encaminhado à Contratada
02/07 - Resposta ao Ofício
24/07 - Chefia Colicon/ ASJUR
17/09 - Retorno Analista
18/09 - Chefia Divcon
18/09 - Chefia Colicon para Assinatura DAL
20/09 - Retorno Analista
20/09 - Enviado ao administrativo.</t>
  </si>
  <si>
    <t>P1280/2016
C0532/2016</t>
  </si>
  <si>
    <t>19/09 - Distribuição
20/09 - Chefia Colicon para assinatura DAL
20/09 - Retorno Analista
21/09 - Enviado ao Administrativo</t>
  </si>
  <si>
    <t>16/05 - Distribuição. Reforma Trabalhista. Aguardando finalizar prorrogação;
02/08 - Suspensão da prorrogação;
06/08 - Cancelamento de DO;
08/08 - Redistribuição Carla - Eduardo na Divcol em 07/08;
15/08 - Chefia Colicon/DAL. 
17/09 - Retorno Analista
19/09 - Chefia Colicon/DAL
20/09 - Retorno de despacho assinado.
20/09 - Enviada planilha à CGOF
20/09 - Concluído</t>
  </si>
  <si>
    <t>Prazo inferior a 120 dias - 57- SEM justificativa</t>
  </si>
  <si>
    <t>SIM. VENC. 17/11/2018</t>
  </si>
  <si>
    <t>561/2017</t>
  </si>
  <si>
    <t>INFOVIA-Brasília</t>
  </si>
  <si>
    <t>P1230/2017-71
C561/2017</t>
  </si>
  <si>
    <t>P0248/2018-36
C539/2018</t>
  </si>
  <si>
    <t>19/09 - Distribuição
20/09 - Chefia Colicon para assinatura DAL
20/09 - Retorno Analista
21/09 - Administrativo;                                                                               24/09 - Concluído</t>
  </si>
  <si>
    <t>0143/2018-87</t>
  </si>
  <si>
    <t>PRIME/MAGITECH/BOING/GRANFLEX/ O.C. ARAUJO/ DISTRIBUIDORA FXO</t>
  </si>
  <si>
    <t>AQUISIÇÃO DE APARELHOS E UTENSÍLIOS DOMÉSTICOS - ATA</t>
  </si>
  <si>
    <t>P0143/2018-87</t>
  </si>
  <si>
    <t>P1442/2016-77
C539/2016</t>
  </si>
  <si>
    <t>P0046/2017
C555/2017</t>
  </si>
  <si>
    <t>31/07 - Distribuição
02/08 - Chefia Colicon/ASJUR
15/08 - Retorno
16/08 - À CGOF adequação de DO
27/08 - Retorno da CGOF
27/08 - Chefia DIVCON
27/08 - À DAL para assinatura do Termo Aditivo
30/08 - Retorno
30/08 - Administrativo
31/08 - Encaminhado para assinatura
20/09  - Retorno assinado
25/09 - 1º termo Aditivo no SIPAC;                                                           25/09 - Concluído.</t>
  </si>
  <si>
    <t>11/07 - Distribuição
25/07 - Chefia Colicon/ASJUR
15/08 - Retorno ao analista
15/08 - Encaminhado CGOF para ajuste de DO
21/08 - Retorno da CGOF
22/08 - Chefia Colicon para assinatura da DAL
30/08 - Admnistrativo
30/08 - Encaminhado para assinatura
04/09 - Retorno assinado
24/09 - 1º Termo Aditivo no SIPAC;                                                         25/09 - Concluído.</t>
  </si>
  <si>
    <t>P1712/2018-10; C155/18</t>
  </si>
  <si>
    <t>18/09 - Distribuição;                                                                                   25/09 - Concluído.</t>
  </si>
  <si>
    <t>PAULO SÉRGIO DE CAMARGO GRAFONAUTA</t>
  </si>
  <si>
    <t>CONTRATAÇÃO PARA MINISTRAR CURSO DE GRAFOLOGIA</t>
  </si>
  <si>
    <t>1515/2018-92</t>
  </si>
  <si>
    <t>PAULO SERGIO DE CAMARGO GRAFONAUTA</t>
  </si>
  <si>
    <t>CONTRATAÇÃO DE EMPRESA PARA MINISTRAR CURSO DE GRAFOLOGIA</t>
  </si>
  <si>
    <t>P1515/2018-92</t>
  </si>
  <si>
    <t>0785/2018-86</t>
  </si>
  <si>
    <t>ABBRA OFFICE E BOING COMERCIO ATACADISTA</t>
  </si>
  <si>
    <t>AQUISIÇÃO DE MATERIAIS DE EXPEDIENTE - ATA</t>
  </si>
  <si>
    <t>P0785/2018-86</t>
  </si>
  <si>
    <t>0642/2018-74</t>
  </si>
  <si>
    <t>AQUISIÇÃO DE CAFÉ, AÇÚCAR E CHÁS - ATA</t>
  </si>
  <si>
    <t>P0642/2018-74</t>
  </si>
  <si>
    <t>P01554/2018-90 C165/2018</t>
  </si>
  <si>
    <t>04/09 - Distribuição;                                                                                   27/09 - Concluído.</t>
  </si>
  <si>
    <t>1327/2018-64; C161/2018</t>
  </si>
  <si>
    <t>30/08 - Distribuição;                                                                                   27/09 - Concluído</t>
  </si>
  <si>
    <t>P1699/2018-91; C160/2018</t>
  </si>
  <si>
    <t>18/09 - Distribuição;                                                                                   27/09 - Concluído</t>
  </si>
  <si>
    <t>P01702/2018; C162/2018</t>
  </si>
  <si>
    <t>20/09 - Distribuição;                                                                                   27/09 - Concluído.</t>
  </si>
  <si>
    <t>P01591/2018-06; C166/2018</t>
  </si>
  <si>
    <t>17/09 - Distribuição;                                                                                   27/09 - Concluído.</t>
  </si>
  <si>
    <t>1574/2018-61; C163/2018</t>
  </si>
  <si>
    <t>30/08 - Distribuição;                                                                                   27/09 - Concluído.</t>
  </si>
  <si>
    <t>1590/2018-53; C164/2018</t>
  </si>
  <si>
    <t>0325/2018-58; C157/2018</t>
  </si>
  <si>
    <t>P01463/2018-54 C167/2018</t>
  </si>
  <si>
    <t>CORREIOS</t>
  </si>
  <si>
    <t>PROCESSO DE SANÇÃO PARA ANEXAÇÃO AO PROC. ORIGINAL Nº 1069/14-92, CONTRATO 625/14</t>
  </si>
  <si>
    <t>1795/2018-39</t>
  </si>
  <si>
    <t>04/05 - Distribuição
07/05 - Aguardando documentação complementar do requisitante
04/09 - Chefia Colicon para assinatura da DAL
05/09 -  Retorno assinado
05/09 - Enviado ao Administrativo
04/09 - Retorno assinado
25/09 - Contrato no SIPAC;                                                                       27/09 - Concluído.</t>
  </si>
  <si>
    <t>0781/2017-17; C151/2018</t>
  </si>
  <si>
    <t>04/09 - Distribuição;                                                                                   27/09 - Concluído</t>
  </si>
  <si>
    <t>CDV; JCA; DI PRIMEIRA; FAMAHA; SUPREVAVEDA</t>
  </si>
  <si>
    <t>P01534/2018-19; C168/2018</t>
  </si>
  <si>
    <t>04/09 - Distribuição;                                                                                    27/09 - Concluído.</t>
  </si>
  <si>
    <t>P1106/2015-43
C563/2015</t>
  </si>
  <si>
    <t>11/07 - Distribuição;
18/07 - Chefia Colicon/ ASJUR;
09/08 - Retorno;
17/08 - Encaminhado para a Chevia da DIVCON
17/08 - Chefia Colicon para assinatura DAL
21/08 - Retorno assinado
21/08 - Enviado ao Administrativo
20/09 - 2º Termo Aditivo Cadastrado;                                                     28/09 - Concluído.</t>
  </si>
  <si>
    <t>13/07 - Distribuição;
13/07 - Chefia DIVCON;
16/07 - Chefia Colicon/ ASJUR;
09/08 - Retorno da ASJUR;
10/08 - CGOF - ajuste DO
15/08 - Retorno da CGOF
15/08 - Chefia da Divcon
15/08 - Chefia da Colicon assinatura DAL
16/08 - Retorno assinado
16/08 - Administrativo                                                                                       17/08 - Encaminhado a Superintendência para assinatura
16/09 - Retorno assinado
27/09 - 4º Termo Aditivo cadastrado no SIPAC;                                    28/09 - Concluído.</t>
  </si>
  <si>
    <t>08/08 - Distribuição
10/08 - Aguardando procuração atualizada do signatário
16/08 - Chefia da DIVCON
16/08 - Chefia Colicon para assinatura da DAL
17/08 - Retorno assinado
20/08 - Administrativo                                                                                        23/08 - Encaminhado para assinatura da empresa
24/09 - Retorno assinado
25/09 - Contrato cadastrado no SIPAC;                                                 28/09 - Concluído.</t>
  </si>
  <si>
    <t>26/09 - Distribuição
01/10/2018 - Concluído</t>
  </si>
  <si>
    <t>ASSOCIAÇÃO DOS ARQUIVISTAS DA PARAIBA</t>
  </si>
  <si>
    <t>INSCRIÇÃO DE SERVIDORES EM EVENTO NACIONAL - Sgualdo, Erika e Gilvann</t>
  </si>
  <si>
    <t>P1798/2018-72</t>
  </si>
  <si>
    <t>ASSOCIAÇÃO DOS ARQUIVISTAS DA PARAÍBA</t>
  </si>
  <si>
    <t>INSCRIÇÃO EM EVENTO NACIONAL - SGUALDO, ÉRIKA E GILVANN</t>
  </si>
  <si>
    <t>1798/2018-72</t>
  </si>
  <si>
    <t>ANDRÉ AMANCIO DE SOUSA LOPES</t>
  </si>
  <si>
    <t xml:space="preserve">PROCESSO DE SANÇÃO PARA ANEXAÇÃO AO PROC. 00091.002485/2017-51 E CADASTRAR A SANÇÃO NO SIPAC. </t>
  </si>
  <si>
    <t>1170/2018-77</t>
  </si>
  <si>
    <t>ANGELICA NUNES DE ALMEIDA</t>
  </si>
  <si>
    <t>SERVIÇO DE LANÇAMENTO DE FIBRA ÓPTICA - RNP</t>
  </si>
  <si>
    <t>P01484/2018-70</t>
  </si>
  <si>
    <t>P0950/2016-38
C535/2016</t>
  </si>
  <si>
    <t>P1774/17-32</t>
  </si>
  <si>
    <t>P0375/2018-35</t>
  </si>
  <si>
    <t>C550/2015</t>
  </si>
  <si>
    <t>P2026/2017-77
C533/2018</t>
  </si>
  <si>
    <t>P0923/2018-27
C544/2018</t>
  </si>
  <si>
    <t xml:space="preserve">07/08 - Distribuição
08/08 - Devolvido para DIVCOL para ajuste dos valores homologados
09/08 - Retorno à DIVCON
09/08 - Chefia Colicon/DAL para assinatura
09/08 - Retorno assinado                                                                                 10/08 - Encaminhado  a Superintendência para assinatura
10/08 - CGOF para adequação de DO
17/08 - Retorno
17/08 - Administrativo    
02/09 - Retorno ao Administrativo    
02/10 - Concluído                                                                                 </t>
  </si>
  <si>
    <t>03/07 - Distribuição
10/07 - Aguardando documentação
01/08 - Chefia Colicon/ASJUR
20/08 - Retorno - redistribuído André, Paulo em férias
20/08 - Encaminhado CGOF para ajuste de DO
23/08 - Retorno da CGOF
24/08 - Chefia da Colicon para assinatura da DAL
24/08 - Retorno sem assinatura aguardando diligências do requisitante
05/09 - Chefia Colicon para assinatura da DAL
10/09 - Retorno
10/09 - Encaminhado ADM
24/09 - Contrato Assinado 
01/10 - 2º Termo Aditivo cadastrado no SIPAC
02/10 - Concluído</t>
  </si>
  <si>
    <t>01/10 - Distribuição
02/10 - concluido</t>
  </si>
  <si>
    <t>05/07 - Distribuição
23/07 - Chefia Colicon/DAL assinatura
25/07 - Retorno
26/07 - Adminitrativo
26/07 - Encaminhado para assinatura
02/10 - Concluído</t>
  </si>
  <si>
    <t>11/09 - Distribuição- Instrução inical
13/09- Chefia Divcon
13/09 - Chefia Colicon para assinatura da DAL
13/09 - Retorno assinado
14/09 - Encaminhado para assinatura
19/09 - Retorno assinado
02/10 - Concluído</t>
  </si>
  <si>
    <t>16/08 - Distribuição
17/08 - Chefia DIVCON
20/08 - Chefia COLICON para assinatura da DAL
21/08 - Retorno assinado
21/08 - Administrativo                                                                                        23/08 - Encaminhado para assinatura da empresa
02/10 - Concluído</t>
  </si>
  <si>
    <t>P0281/2018-66
C545/2018</t>
  </si>
  <si>
    <t>23/08 - Distribuição
28/08 - Chefia Colicon para assinatura da DAL
29/08 - Retorno assinado
29/08 - Enviado ao Administrativo
30/08 - Encaminhado CGOF p/ ajuste de DO
06/09 - Retorno da CGOF
10/09 - Encaminhado ao Administrativo
02/10 - Concluído</t>
  </si>
  <si>
    <t>26/09 - Distribuição
28/09 - Chefia DIVCON
28/09 - Chefia Colicon para assinatura da DAL
02/10 - Retorno Analista</t>
  </si>
  <si>
    <t>30/08 - Distribuição
11/09 - Chefia Divcon
11/09 - Chefia da Colicon para envio à ASJUR
25/09 - CGOF para adequação de DO
27/09 - Retorno
27/09 - Chefia Divcon
28/09 - Chefia Colicon para assinatura da DAL
02/10 - Retorno Analista</t>
  </si>
  <si>
    <t>HLP COMÉRCIO; AMILTON GUIMARÃES; FÉLIX ELETRÔNICA</t>
  </si>
  <si>
    <t>AQUISIÇÃO DE MATERIAIS ELETRÔNICO</t>
  </si>
  <si>
    <t>AGNALDO SANTOS E LUCIMEIRE PASSOS</t>
  </si>
  <si>
    <t>P01585/2018-41</t>
  </si>
  <si>
    <t>05/07 - Distribuição
17/08 - Chefia Colicon encaminhamento à ASJUR
28/09 - Retorno ao analista</t>
  </si>
  <si>
    <t>JULEAN DECORAÇÕES LTDA-ME</t>
  </si>
  <si>
    <t>AQUICIÇÃO DE PERSIANAS</t>
  </si>
  <si>
    <t>1732/2018-82</t>
  </si>
  <si>
    <t>P01732/2018-82</t>
  </si>
  <si>
    <t>KAZA CHIQUE</t>
  </si>
  <si>
    <t>0850/2017</t>
  </si>
  <si>
    <t>DEVOPS WORLD/JENKIS WORLD</t>
  </si>
  <si>
    <t>INCLUSÃO DE DOC. NO PROCESSOS DE SUBSTITUIÇÃO DE SERVIDORES EM EVENTO EXTERNO</t>
  </si>
  <si>
    <t>02/07 - Distribuição
03/07 - Chefia DIVCON
03/07 - Chefia Colicon/ ASJUR
09/07 - Retorno analista
09/07 - CGOF ajuste de DO
10/07 - Retorno da CGOF
11/07 - Chefia DIVCON
11/07 - Chefia Colicon/ assinatura DAL
12/07 - retorno analista
12/07 - Administrativo
03/10 - Concluído</t>
  </si>
  <si>
    <t>P1074/2016-67
C0525/2016</t>
  </si>
  <si>
    <t>P01697/2018-00
C171/2018</t>
  </si>
  <si>
    <t>17/09 - Distribuição
03/10 - Concluído</t>
  </si>
  <si>
    <t>RESÍDUOS SÓLIDOS</t>
  </si>
  <si>
    <t xml:space="preserve">02/10 - Administrativo
04/10 - Concluído </t>
  </si>
  <si>
    <t>P01436/2018-81
C0175/2018 E 
C0176/2018</t>
  </si>
  <si>
    <t>06/09 - Distribuição
13/09 - Chefia Colicon para indicação de executores pela DAL
17/09 - Retorno analista
04/10 - Concluído</t>
  </si>
  <si>
    <t>P01690/2017-07
C0173/2018 E 
C0174/2018</t>
  </si>
  <si>
    <t>NÃO. VENC. 31/01/2019</t>
  </si>
  <si>
    <t>Prazo inferior a 120 dias - 116- COM justificativa</t>
  </si>
  <si>
    <t>BANCA DO CONCURSO</t>
  </si>
  <si>
    <t>04/10 - Distribuição</t>
  </si>
  <si>
    <t>26/09 - Distribuição
27/09 - Processo devolvido a DIVCOL para correção.</t>
  </si>
  <si>
    <t>08/08 - Distribuição
10/08 - Aguardando processo de prorrogação retornar da ASJUR
28/09 - Chefia Colicon para assinatura da DAL
04/10 - Retorno Analista
04/10 - Administrativo
04/10 - Concluído</t>
  </si>
  <si>
    <t>P1902/2017-48
C566/2017</t>
  </si>
  <si>
    <t>03/10 - Administrativo
05/10 - Concluído</t>
  </si>
  <si>
    <t>20/08 - Distribuição
21/08 - Chefia da Divcon
21/08 - Chefia da Colicon para envio à ASJUR
31/08 - Retorno da ASJUR
31/08 - CGOF para ajuste de DO
04/09 - Retorno da CGOF
04/09 - Chefia da Divcon
04/09 - Chefia da Colicon para assinatura da Diretora
06/09 - Retorno assinado
04/10 - 1º Termo Aditivo cadastrado no SIPAC
05/10 - Concluído</t>
  </si>
  <si>
    <t>SUBS. RENATO</t>
  </si>
  <si>
    <t>NÃO. VENC. 01/01/2019</t>
  </si>
  <si>
    <t>Prazo inferior a 120 dias- 85 - COM justificativa</t>
  </si>
  <si>
    <t>ECT - CORREIOS</t>
  </si>
  <si>
    <t>SERVIÇOS E VENDAS DE PRODUTOS</t>
  </si>
  <si>
    <t>05/10 - Distribuição</t>
  </si>
  <si>
    <t>P0406/2016-96
C524/2016</t>
  </si>
  <si>
    <t>500/2016</t>
  </si>
  <si>
    <t>NÃO. VENC. 14/01/2019</t>
  </si>
  <si>
    <t>Prazo inferior a 120 dias -        - SEM justificativa</t>
  </si>
  <si>
    <t xml:space="preserve">LIMPEZA </t>
  </si>
  <si>
    <t>08/08 - Distribuição
30/08 - Chefia Colicon para encaminhar à ASJUR
27/08 - Retorno da ASJUR
28/08 - Retorno ao analista
28/09 - Encaminhado CGOF para ajuste de DO
02/10 - Retorno ao analista
04/10 - Chefia da Colicon para assinatura da DAL
08/10 - Retorno Analista</t>
  </si>
  <si>
    <t>05/06 - Distribuição
01/08 - Aguardando a conclusão do termo aditivo de revisão trabalhista para continuidade do processo de repactuação
28/08 - Chefia Colicon para encaminhar à DAL e posteriormente à CGOF para análise e providências cabíveis. Obs: não fora feito apostilamento haja vista que o Contrato já foi encerrado. 
25/09 - Retorno do Dal para analista atualizar planilhas
08/10 - Chefia Colicon/DAL</t>
  </si>
  <si>
    <t>16/05 - Distribuição - Reforma Trabalhista
06/06 - Ofício encaminhado
25/06 - Colicon/ASJUR
05/07 - Retorno
23/07 - Chefia Colicon/DAL 
assinatura
25/07 - Retorno
26/07 - À CGOF
31/07 - Retorno
01/08 - Administrativo  
01/08 - Encaminhado para assinatura - SERS
08/10 - Concluído</t>
  </si>
  <si>
    <t xml:space="preserve">10/07 - Distribuição;
11/07 - comunicação ao fiscal  documentação complementar;
25/07 - nova comunicação ao fiscal ref. Documentos exigidos;
07/08 - Aguardando documento;
08/08 - Redistribuido Carla- Paulo na Divcol em 07/08;
09/08 - Aguardando check list
20/08 - Verificado cancelamento do registro da CCT. Informado ao executor do contrato, aguardando informações da empresa.
 </t>
  </si>
  <si>
    <t>01/10 - Administrativo
08/10 - Concluído</t>
  </si>
  <si>
    <t>17/09 - Distribuição
08/10 - Concluído</t>
  </si>
  <si>
    <t>P0400/2018-18
C536/2018</t>
  </si>
  <si>
    <t>24/07 - Distribuição
26/07 - Solicitado ao executor contato junto a Concessionária solicitando informações referentes aos signatários
03/08 - Chefia Colicon/DAL para assinatura
03/08 - Retorno
06/08 - Enviado ao Administrativo                                                               
06/08 - Encaminhado para assinatura - SEMS                                            
05/09 - Retorno do contrato ao administrativo
03/10 - Contrato Cadastrado SIPAC
08/10 - Concluído</t>
  </si>
  <si>
    <t>03/08 - Distribuição;
08/08 - Redistribuição Carla- Paulo na Divcol em 07/08;
10/08 - Diligência no requisitante para arpesentar justificativa prazo de 05 dias úteis
12/09 - Chefia Divcon
12/09 - Chefia Colicon para encaminhar à ASJUR
19/09 - Á CGOF ajuste de DO
25/09 - Chefia Colicon para assinatura da DAL
27/09 - Retorno
27/09 - Adminitrativo
08/10 - Concluído</t>
  </si>
  <si>
    <t>20/02 - Distribuição
22/03 - Apostilamento enc. Assinatura DAL
27/03 - Administrativo
05/10  - 3º Termo Aditivo inserido no SIPAC
08/10 - Concluído</t>
  </si>
  <si>
    <t>17/09 - Distribuição
19/09 - Chefia Divcon
20/09 - Chefia Colicon para assinatura da DAL
26/09 - Retorno Analista
26/09 - Administrativo
01/10 - Concluído
05/10 - Extraviado apostilamento não foi enviado a SERJ
08/10 - Enviado Email à COLICON comunicando extravio
09/10 - Chefia Colicon para assinatura da DAL</t>
  </si>
  <si>
    <t>P00632/2018-39
C178/2018; 179/2018 e 180/2018</t>
  </si>
  <si>
    <t>02/10 - Administrativo
09/10 - Concluído</t>
  </si>
  <si>
    <t>P1003/2015-83
568/2015</t>
  </si>
  <si>
    <t>19/07 - Distribuição
30/07 - Chefia Colicon/ASJUR
21/08 - Retorno da ASJUR
22/08 - À CGOF ajuste de DO
27/08 - Retorno da CGOF
27/08 - Chefia DIVCON
27/08 - À DAL para assinatura
30/08 - Retorno
30/08 - Administrativo
31/08 - Enviado para assinatura
08/10 - 5º Termo Aditivo inserido no SIPAC</t>
  </si>
  <si>
    <t>16/07 - Distribuição
17/07 - Aguardando documentação
14/08 - Chefia Colicon/ASJUR
30/08 - Retorno
30/08 - Encaminhado CGOF p/ ajuste de DO
04/09 - Retorno da CGOF
05/09 - Chefia Colicon para assinatura da DAL
06/09 - Retorno assinado
10/09 - Encaminhado Administrativo;                                                     
17/09 - Encaminhado para assinatura
01/10 - Retorno para cancelamento de prorrogação
01/10 - CGOF para cancelamento de DO
10/10 - Concluído</t>
  </si>
  <si>
    <t>05/03 - Distribuição
18/04 - Colicon/ASJUR
07/05 - Aguardando regularização do SICAF
29/05 - Colicon/Assinatura DAL
07/06 - Retorno
07/06 - Enviado ao Administrativo
20/09 - Termo aditivo no SIPAC
28/09 - Concluído</t>
  </si>
  <si>
    <t>578/2017</t>
  </si>
  <si>
    <t>NÃO. VENC. 08/01/2019</t>
  </si>
  <si>
    <t>Prazo inferior a 1020 dias - 90 - COM justificativa</t>
  </si>
  <si>
    <t>SIGMA -  SERVIÇOS TERCEIRIZADOS LTDA - ME</t>
  </si>
  <si>
    <t>P1075/2017-92
C578/2017</t>
  </si>
  <si>
    <t>10/10 - Distribuição</t>
  </si>
  <si>
    <t>25/09 - Distribuição
28/09 - Processo enviado para DIVCOL para providências referêntes à pendências na homologação.
03/10 - Retorno ao Analista
08/10 - Chefia da DIVCON
09/10 - Retorno Analista
10/10 - Colicon/Dal
11/10 - Retorno Analista
11/10 - Enviado a administrativo</t>
  </si>
  <si>
    <t>P0684/2017
C191, 192,193,194, 195,196 e 197/2018</t>
  </si>
  <si>
    <t>18/09 - Distribuição
11/10 - Concluído</t>
  </si>
  <si>
    <t>P0957/2018-11
C 150, 183, 184, 185, 186, 187, 188, 189 e 190/18</t>
  </si>
  <si>
    <t xml:space="preserve">INFORMATION SYSTEMS </t>
  </si>
  <si>
    <t>INSCRIÇÃO SERVIDORES   CURSO DE CAPACITAÇÃO</t>
  </si>
  <si>
    <t>P01979/2018-07</t>
  </si>
  <si>
    <t>16/10 - Distribuição</t>
  </si>
  <si>
    <t>ASSOCIAÇÃO ESCOLA SUPERIOR DE PROPAGANDA</t>
  </si>
  <si>
    <t>INSCRIÇÃO SERVIDOR CAPACITAÇÃO</t>
  </si>
  <si>
    <t>P01865/2018-59</t>
  </si>
  <si>
    <t>BRASIDAS EIRELI</t>
  </si>
  <si>
    <t>AQUISIÇÃO MATERIAL PARA LAVANDERIA</t>
  </si>
  <si>
    <t>P00845/2018-61</t>
  </si>
  <si>
    <t>INTERNATIONAL LAW INSTITUTE</t>
  </si>
  <si>
    <t>INSCRIÇÃO SERVIDORES CAPACITAÇÃO</t>
  </si>
  <si>
    <t>P01859/2018-00</t>
  </si>
  <si>
    <t xml:space="preserve">GARTNER DO BRASIL </t>
  </si>
  <si>
    <t>P01841/2018-08</t>
  </si>
  <si>
    <t>ASSOCIAÇÃO PYTHON BRASIL</t>
  </si>
  <si>
    <t>P01929/2018-11</t>
  </si>
  <si>
    <t>PROTTEGE SERVIÇOS</t>
  </si>
  <si>
    <t>MANUTENÇÃO DE CERCA ELÉTRICA</t>
  </si>
  <si>
    <t>P00846/2018-13</t>
  </si>
  <si>
    <t>0924/2018-71</t>
  </si>
  <si>
    <t>BERKANA TECNOLOGIA</t>
  </si>
  <si>
    <t>AQUISIÇÃO DE EQUIPAMENTOS OPERACIONAIS - CMVT</t>
  </si>
  <si>
    <t>30/08 - Distribuição
11/09 - Chefia Colicn para encaminhar à ASJUR
02/10 - Retorno Analista
03/10 - CGOF
10/10 - Retorno Analista
17/10 - Chefia Colicon para providências de cadastramento no SEI pela DAL</t>
  </si>
  <si>
    <t>16/05 - Distribuição
13/08 - Chefia da Divcon
15/08 - Chefia da Colicon para encaminhamento à ASJUR
03/09 - Retorno 
04/09 - Chefia Colicon para assinatura da DAL
05/09 - Retorno assinado
05-09 - Encaminhado ao Administrativo;                                                                   17/09 - Encaminhado para assinatura;                                                                         08/10 - Concluído.</t>
  </si>
  <si>
    <t>18/09 - Distribuição
19/09 - Devolvido para a DIVCOL - Foi averiguado erro na licitação.
25/09 - Retorno analista
25/09 - Chefia DIVCON
26/09 - Chefia Colicon para assinatura da DAL
27/09 - Retorno
28/09 - Enviado para o administrativo
11/10 - Retorno das Atas devidamente assinadas;                                                 17/10 - Concluído</t>
  </si>
  <si>
    <t>03/08 - Distribuição. Redistribuído para André em 09/08. Eduardo na Divcol em 07/08.
20/08 - Chefia COLICON para assinatura da DAL
23/08 - Enviado ao Administrativo
10/10 - Retorno das Atas devidamente assinadas;                                                17/10 - Concluído</t>
  </si>
  <si>
    <t>21/08 - Distribuição
27/08 - Chefia Colicon para encaminhar à ASJUR
17/09 - Retorno analista
17/09 - Diligencia quanto a metodologia de pesquisa de preços questionada pela ASJUR
28/09 - Encaminhado CGOF para ajuste de DO
02/10 - Retorno ao analista
17/10 - Chefia Divicon
17/10 - Chefia Colicon para assinatura da DAL
18/10 - Retorno Analista
18/10 -  Administrativo</t>
  </si>
  <si>
    <t>1831/2018-64</t>
  </si>
  <si>
    <t>SYSTECH SISTEMAS</t>
  </si>
  <si>
    <t>AQUISIÇÃO DE SOFTWARE PRONTO</t>
  </si>
  <si>
    <t>KRYPTUS SEGURANÇA</t>
  </si>
  <si>
    <t>MONTAGEM DE SOLUÇÃO DE MHSCPV3</t>
  </si>
  <si>
    <t>1254/2018-19</t>
  </si>
  <si>
    <t>DOENTE</t>
  </si>
  <si>
    <t>540/2018</t>
  </si>
  <si>
    <t xml:space="preserve">DELL </t>
  </si>
  <si>
    <t>AQUISIÇÃO DE ULTRABOOK</t>
  </si>
  <si>
    <t>21/09 - Distribuição
24/09 - Chefia Colicon para encaminhar à ASJUR
16/10 - Retorno Analista
16/10 - Enviado para CGOF para ajuste de DO
18/10 - Chefia Divicon
18/10 - Chefia Colicon para assinatura da DAL</t>
  </si>
  <si>
    <t>P01831/2018-64
C551/2018</t>
  </si>
  <si>
    <t>CAD STUDIO E TECNOLOGIA</t>
  </si>
  <si>
    <t>P01927/2018-22</t>
  </si>
  <si>
    <t>19/10 - Distribuição</t>
  </si>
  <si>
    <t>P01960/2018-52</t>
  </si>
  <si>
    <t>SOCIEDADE BRASILEIRA DE PROGRAMAÇÃO  NEUROLINGUISTICA</t>
  </si>
  <si>
    <t>CAPACITAÇÃO - GLÁUCIA MOURA E NÚBIA DIAS</t>
  </si>
  <si>
    <t>P01849/2018-66</t>
  </si>
  <si>
    <t>CAPACITAÇÃO - JULIANA; RICARDO E LUCIANA</t>
  </si>
  <si>
    <t>CAPACITAÇÃO - CÉSAR AUGUSTO</t>
  </si>
  <si>
    <t>P00924/2018-71
C0550/2018</t>
  </si>
  <si>
    <t>16/10 - Distribuição
19/10 - Chefia Colicon para assinatura da DAL</t>
  </si>
  <si>
    <t>1308/2018-38</t>
  </si>
  <si>
    <t>CONCESSIONÁRIA AEROPORTO</t>
  </si>
  <si>
    <t>P01308/2018-38</t>
  </si>
  <si>
    <t xml:space="preserve">IZ COMERCIO </t>
  </si>
  <si>
    <t>EXTINTO- COM. RECARGA DE EXTINTORES</t>
  </si>
  <si>
    <t>P01718/2018-89</t>
  </si>
  <si>
    <t>19/10 - Distribuição
22/10 - Diligência no requisitante - Aguardando aprovação da  empresa para a alteração realizada pela ASJUR</t>
  </si>
  <si>
    <t>18/10 - Distribuição
18/10 - Aguardando indicação de executores do contrato
18/10 - Chefia Divicon
19/10 - Chefia Colicon para assinatura da DAL
22/10 - Retorno Analista
22/10 - Administrativo</t>
  </si>
  <si>
    <t>18/10 - Distribuição
22/10 - Chefia Divcon
23/10 - Chefia Colicon encaminhar à ASJUR</t>
  </si>
  <si>
    <t xml:space="preserve">06/06 - Distribuição
19/06 - Colicon/ASJUR
04/07 - Retorno
05/07 - CGOF- adequação de DO
10/07 - Retorno da CGOF
12/07 - Chefia Colicon/assinatura DAL
13/07 - Retorno                                                                                                                                  16/07 - Emcaminhado para assinaura - SEAC;                                                       23/10 - Concluído.           </t>
  </si>
  <si>
    <t>P01903/2018-73 C199/2018</t>
  </si>
  <si>
    <t>19/10 - Distribuição;                                                                          23/10 - Concluído</t>
  </si>
  <si>
    <t>IDEAL EDUCATION GROUP</t>
  </si>
  <si>
    <t>CAPACITAÇÃO - ELIANA DANTAS</t>
  </si>
  <si>
    <t>P01926/2018-88</t>
  </si>
  <si>
    <t>23/10 - Distribuição</t>
  </si>
  <si>
    <t>SICOLI INDUSTRIA E COMERCIO</t>
  </si>
  <si>
    <t>AQUISIÇÃO DE MATERIAIS GRÁFICOS</t>
  </si>
  <si>
    <t>P01134/2017-22</t>
  </si>
  <si>
    <t>0742/2018-09</t>
  </si>
  <si>
    <t xml:space="preserve">IGM2 METROLOGIA </t>
  </si>
  <si>
    <t>SERVIÇOS DE MANUTENÇÃO AR CONDICIONADO</t>
  </si>
  <si>
    <t>P0742/2018-09</t>
  </si>
  <si>
    <t>0101/2018-46</t>
  </si>
  <si>
    <t>NET EXPRESS BRASIL</t>
  </si>
  <si>
    <t>SERVIÇO DE ACESSO À INTERNET VIA RADIO</t>
  </si>
  <si>
    <t>P0101/2018-46</t>
  </si>
  <si>
    <t>26/04 - Distribuição;
27/04 - Aguardando finalizar prorrogação;
08/08 - Redistribuído para André -Paulo na Divcol em 07/08;
10/10 - Chefia Divicon
10/10 - Retono Analista
10/10 - Colicon/Assinatura DAL;                                                                                          24/10 - Concluído</t>
  </si>
  <si>
    <t>17/09 - Distribuição
20/09 - Aguardando pesquisa de preço.
24/10 - Chefia Colicon envio à ASJUR</t>
  </si>
  <si>
    <t>P01254/2018-19
C0552/2018</t>
  </si>
  <si>
    <t>18/10 - Distribuição
19/10 - Diligência ao Requisitante.
24/10 - Chefia Colicon para assinatura da DAL</t>
  </si>
  <si>
    <t>23/10 - Distribuição
24/10 - Chefia Colicon para assinatura da DAL</t>
  </si>
  <si>
    <t xml:space="preserve">16/08 - Distribuição
28/08 - Diligencias junto a SEPI para envio da consulta junto ao SISREI
20/09 - Chefia Divcon
20/09 - Chefia Colicon/ASJUR
24/10 - Retorno da ASJUR
24/10 - Encaminhado CGOF p/ ajuste de DO </t>
  </si>
  <si>
    <t>27/06 - Distribuição
09/08 - Chefia da Divcon
15/08 - Chefia Colicon/ASJUR
30/08 - Retorno da ASJUR
30/08 - Encaminhado CGOF p/ ajuste de DO
04/09 - Retorno da CGOF
05/09 - Chefia Colicon para assinatura da DAL
10/09 - Retorno
19/09 - Encaminhado para assinatura
20/09 - Encaminhado 5º TAC para assinatura
22/10 -  Retorno do  5º TAC assinado
24/10 - 5º TAC  cadastrado no SIPAC</t>
  </si>
  <si>
    <t>05/10 - Distribuição
17/10 - Chefia da DIVCON
17/10 - Retorno ao Analista
17/10 - Declaração Orçamentária
18/10 - Retorno ao analista
22/10 - Chefia da DIVCON
23/10 - Chefia Colicon para assinatura da DAL
24/10 - Retorno assinado</t>
  </si>
  <si>
    <t>FREDERICO SOUZA</t>
  </si>
  <si>
    <t>P01398/2018-67</t>
  </si>
  <si>
    <t>25/10 - Distribuição</t>
  </si>
  <si>
    <t>0184/2018-73</t>
  </si>
  <si>
    <t>ALESSANDRO DE SIQUEIRA</t>
  </si>
  <si>
    <t>SERVIÇO DEDETIZAÇÃO</t>
  </si>
  <si>
    <t xml:space="preserve">P01690/2017-07
</t>
  </si>
  <si>
    <t>DATA SECURITY</t>
  </si>
  <si>
    <t>CAPACITAÇÃO - MÁRCIO DA MOTA E LEANDRO LARA</t>
  </si>
  <si>
    <t>P01930/2018-46</t>
  </si>
  <si>
    <t>03/10 - Distribuição
04/10 - Aguardando conclusão do administrativo.
05/10 - Retorno Analista
08/10 - Chefia Colicon para assinatura da DAL
11/10 - Retorno Analista
11/10 - Enviado ao Administrativo;                                                   25/10 - Concluído</t>
  </si>
  <si>
    <t>25/10 - Distribuição
25/10 - Chefia Divcon
25/10 - Chefia Colicon para assinatura da DAL</t>
  </si>
  <si>
    <t>P0184/2018-73
C0555/2018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</si>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</sst>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22"/>
      <color theme="0" tint="-0.34998626667073579"/>
      <name val="Tahoma"/>
      <family val="2"/>
    </font>
    <font>
      <sz val="10"/>
      <color rgb="FFFF0000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20"/>
      <color theme="0" tint="-0.34998626667073579"/>
      <name val="Tahoma"/>
      <family val="2"/>
    </font>
    <font>
      <b/>
      <sz val="16"/>
      <color theme="0" tint="-0.34998626667073579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ont="1" applyBorder="1"/>
    <xf numFmtId="0" fontId="0" fillId="0" borderId="0" xfId="0" applyBorder="1"/>
    <xf numFmtId="14" fontId="0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0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6" fontId="0" fillId="0" borderId="1" xfId="0" applyNumberFormat="1" applyBorder="1" applyAlignment="1">
      <alignment horizontal="left" vertical="center" wrapText="1"/>
    </xf>
    <xf numFmtId="0" fontId="0" fillId="0" borderId="4" xfId="0" applyBorder="1"/>
    <xf numFmtId="0" fontId="0" fillId="0" borderId="4" xfId="0" applyFont="1" applyBorder="1"/>
    <xf numFmtId="14" fontId="0" fillId="0" borderId="1" xfId="0" applyNumberFormat="1" applyBorder="1"/>
    <xf numFmtId="14" fontId="0" fillId="0" borderId="0" xfId="0" applyNumberFormat="1" applyBorder="1"/>
    <xf numFmtId="0" fontId="2" fillId="0" borderId="0" xfId="0" applyFont="1" applyBorder="1"/>
    <xf numFmtId="16" fontId="0" fillId="0" borderId="1" xfId="0" applyNumberFormat="1" applyBorder="1"/>
    <xf numFmtId="16" fontId="2" fillId="0" borderId="1" xfId="0" applyNumberFormat="1" applyFont="1" applyBorder="1"/>
    <xf numFmtId="16" fontId="0" fillId="0" borderId="4" xfId="0" applyNumberFormat="1" applyBorder="1"/>
    <xf numFmtId="0" fontId="1" fillId="4" borderId="1" xfId="0" applyFont="1" applyFill="1" applyBorder="1" applyAlignment="1">
      <alignment wrapText="1"/>
    </xf>
    <xf numFmtId="0" fontId="0" fillId="0" borderId="1" xfId="0" applyFont="1" applyFill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0" fontId="7" fillId="0" borderId="0" xfId="0" applyFont="1" applyAlignment="1">
      <alignment wrapText="1"/>
    </xf>
    <xf numFmtId="14" fontId="0" fillId="0" borderId="1" xfId="0" applyNumberFormat="1" applyFont="1" applyBorder="1" applyAlignment="1">
      <alignment horizontal="right" vertical="center" wrapText="1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" xfId="0" applyFill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 applyFont="1" applyAlignment="1">
      <alignment horizontal="right" vertical="center" wrapText="1"/>
    </xf>
    <xf numFmtId="0" fontId="6" fillId="2" borderId="2" xfId="0" applyFont="1" applyFill="1" applyBorder="1" applyAlignment="1">
      <alignment horizontal="right" vertical="center"/>
    </xf>
    <xf numFmtId="0" fontId="0" fillId="0" borderId="3" xfId="0" applyFill="1" applyBorder="1" applyAlignment="1">
      <alignment wrapText="1"/>
    </xf>
    <xf numFmtId="0" fontId="5" fillId="0" borderId="0" xfId="0" applyFont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14" fontId="0" fillId="0" borderId="5" xfId="0" applyNumberFormat="1" applyFont="1" applyBorder="1" applyAlignment="1">
      <alignment horizontal="right" vertical="center" wrapText="1"/>
    </xf>
    <xf numFmtId="0" fontId="0" fillId="0" borderId="5" xfId="0" applyBorder="1" applyAlignment="1">
      <alignment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0" fillId="0" borderId="3" xfId="0" applyFont="1" applyFill="1" applyBorder="1"/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1" xfId="0" applyFont="1" applyBorder="1"/>
    <xf numFmtId="0" fontId="1" fillId="4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6" fillId="0" borderId="0" xfId="0" applyFont="1" applyAlignment="1">
      <alignment vertical="center" wrapText="1"/>
    </xf>
    <xf numFmtId="0" fontId="9" fillId="5" borderId="8" xfId="0" applyFont="1" applyFill="1" applyBorder="1" applyAlignment="1">
      <alignment vertical="top" wrapText="1"/>
    </xf>
    <xf numFmtId="0" fontId="12" fillId="5" borderId="8" xfId="0" applyFont="1" applyFill="1" applyBorder="1" applyAlignment="1">
      <alignment vertical="top" wrapText="1"/>
    </xf>
    <xf numFmtId="0" fontId="9" fillId="5" borderId="8" xfId="0" applyFont="1" applyFill="1" applyBorder="1" applyAlignment="1">
      <alignment horizontal="left" vertical="top" wrapText="1"/>
    </xf>
    <xf numFmtId="0" fontId="9" fillId="5" borderId="8" xfId="0" applyFont="1" applyFill="1" applyBorder="1" applyAlignment="1">
      <alignment horizontal="center"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9" xfId="0" applyFont="1" applyFill="1" applyBorder="1" applyAlignment="1">
      <alignment vertical="top" wrapText="1"/>
    </xf>
    <xf numFmtId="1" fontId="12" fillId="0" borderId="9" xfId="0" applyNumberFormat="1" applyFont="1" applyBorder="1" applyAlignment="1">
      <alignment vertical="top" wrapText="1"/>
    </xf>
    <xf numFmtId="0" fontId="8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center" vertical="top" wrapText="1"/>
    </xf>
    <xf numFmtId="0" fontId="9" fillId="0" borderId="1" xfId="0" applyFont="1" applyFill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 vertical="top" wrapText="1"/>
    </xf>
    <xf numFmtId="1" fontId="12" fillId="0" borderId="0" xfId="0" applyNumberFormat="1" applyFont="1" applyAlignment="1">
      <alignment vertical="top" wrapText="1"/>
    </xf>
    <xf numFmtId="0" fontId="8" fillId="5" borderId="8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7" fillId="0" borderId="1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/>
    <xf numFmtId="14" fontId="0" fillId="7" borderId="1" xfId="0" applyNumberFormat="1" applyFont="1" applyFill="1" applyBorder="1" applyAlignment="1">
      <alignment horizontal="right" vertical="center" wrapText="1"/>
    </xf>
    <xf numFmtId="0" fontId="0" fillId="7" borderId="1" xfId="0" applyFill="1" applyBorder="1" applyAlignment="1">
      <alignment wrapText="1"/>
    </xf>
    <xf numFmtId="0" fontId="0" fillId="0" borderId="3" xfId="0" applyFill="1" applyBorder="1"/>
    <xf numFmtId="0" fontId="0" fillId="0" borderId="0" xfId="0" applyBorder="1"/>
    <xf numFmtId="14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wrapText="1"/>
    </xf>
    <xf numFmtId="16" fontId="0" fillId="0" borderId="4" xfId="0" applyNumberFormat="1" applyBorder="1" applyAlignment="1">
      <alignment wrapText="1"/>
    </xf>
    <xf numFmtId="0" fontId="0" fillId="0" borderId="0" xfId="0" applyAlignment="1">
      <alignment vertical="top"/>
    </xf>
    <xf numFmtId="0" fontId="0" fillId="0" borderId="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9" fillId="0" borderId="1" xfId="0" applyFont="1" applyBorder="1" applyAlignment="1">
      <alignment vertical="center" wrapText="1"/>
    </xf>
    <xf numFmtId="1" fontId="13" fillId="5" borderId="4" xfId="0" applyNumberFormat="1" applyFont="1" applyFill="1" applyBorder="1" applyAlignment="1">
      <alignment horizontal="left" vertical="top" wrapText="1"/>
    </xf>
    <xf numFmtId="1" fontId="13" fillId="5" borderId="6" xfId="0" applyNumberFormat="1" applyFont="1" applyFill="1" applyBorder="1" applyAlignment="1">
      <alignment horizontal="left" vertical="top" wrapText="1"/>
    </xf>
    <xf numFmtId="1" fontId="13" fillId="5" borderId="7" xfId="0" applyNumberFormat="1" applyFont="1" applyFill="1" applyBorder="1" applyAlignment="1">
      <alignment horizontal="left" vertical="top" wrapText="1"/>
    </xf>
    <xf numFmtId="0" fontId="8" fillId="5" borderId="10" xfId="0" applyFont="1" applyFill="1" applyBorder="1" applyAlignment="1">
      <alignment horizontal="center" vertical="top" wrapText="1"/>
    </xf>
    <xf numFmtId="0" fontId="8" fillId="5" borderId="11" xfId="0" applyFont="1" applyFill="1" applyBorder="1" applyAlignment="1">
      <alignment horizontal="center" vertical="top" wrapText="1"/>
    </xf>
    <xf numFmtId="0" fontId="0" fillId="0" borderId="12" xfId="0" applyBorder="1" applyAlignment="1">
      <alignment wrapText="1"/>
    </xf>
    <xf numFmtId="0" fontId="0" fillId="0" borderId="0" xfId="0" applyAlignment="1">
      <alignment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wrapText="1"/>
    </xf>
    <xf numFmtId="0" fontId="5" fillId="0" borderId="0" xfId="0" applyFont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0" xfId="0" applyFill="1" applyAlignment="1">
      <alignment wrapText="1"/>
    </xf>
    <xf numFmtId="0" fontId="4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center"/>
    </xf>
    <xf numFmtId="0" fontId="0" fillId="0" borderId="12" xfId="0" applyBorder="1"/>
    <xf numFmtId="0" fontId="0" fillId="0" borderId="0" xfId="0" applyBorder="1"/>
    <xf numFmtId="1" fontId="12" fillId="0" borderId="4" xfId="0" applyNumberFormat="1" applyFont="1" applyBorder="1" applyAlignment="1">
      <alignment vertical="top" wrapText="1"/>
    </xf>
    <xf numFmtId="1" fontId="9" fillId="0" borderId="4" xfId="0" applyNumberFormat="1" applyFont="1" applyBorder="1" applyAlignment="1">
      <alignment vertical="top" wrapText="1"/>
    </xf>
    <xf numFmtId="1" fontId="12" fillId="0" borderId="7" xfId="0" applyNumberFormat="1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30677010665282"/>
          <c:y val="1.1154009646900942E-2"/>
          <c:w val="0.83612781739752517"/>
          <c:h val="0.8032994790111400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Dados!$B$2:$B$14</c15:sqref>
                  </c15:fullRef>
                </c:ext>
              </c:extLst>
              <c:f>(Dados!$B$2,Dados!$B$5:$B$11)</c:f>
              <c:strCache>
                <c:ptCount val="8"/>
                <c:pt idx="0">
                  <c:v>Instrução inicial</c:v>
                </c:pt>
                <c:pt idx="1">
                  <c:v>Diligências no requisitante</c:v>
                </c:pt>
                <c:pt idx="2">
                  <c:v>Enviado à ASJUR</c:v>
                </c:pt>
                <c:pt idx="3">
                  <c:v>Análise pós ASJUR</c:v>
                </c:pt>
                <c:pt idx="4">
                  <c:v>Enviado ao DAL</c:v>
                </c:pt>
                <c:pt idx="5">
                  <c:v>Retorno analista</c:v>
                </c:pt>
                <c:pt idx="6">
                  <c:v>Declaração Orçamentária</c:v>
                </c:pt>
                <c:pt idx="7">
                  <c:v>Enviado ao Administrativo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Dados!$D$2:$D$14</c15:sqref>
                  </c15:fullRef>
                </c:ext>
              </c:extLst>
              <c:f>(Dados!$D$2,Dados!$D$5:$D$11)</c:f>
              <c:numCache>
                <c:formatCode>General</c:formatCode>
                <c:ptCount val="8"/>
                <c:pt idx="0">
                  <c:v>11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11</c:v>
                </c:pt>
                <c:pt idx="5">
                  <c:v>6</c:v>
                </c:pt>
                <c:pt idx="6">
                  <c:v>1</c:v>
                </c:pt>
                <c:pt idx="7">
                  <c:v>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716-408B-963C-3F118CC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13720"/>
        <c:axId val="295714896"/>
      </c:barChart>
      <c:catAx>
        <c:axId val="295713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4896"/>
        <c:crosses val="autoZero"/>
        <c:auto val="1"/>
        <c:lblAlgn val="ctr"/>
        <c:lblOffset val="100"/>
        <c:noMultiLvlLbl val="0"/>
      </c:catAx>
      <c:valAx>
        <c:axId val="2957148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372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40091542688582E-2"/>
          <c:y val="0"/>
          <c:w val="0.79129454123096987"/>
          <c:h val="1"/>
        </c:manualLayout>
      </c:layout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47C-4F2A-BC67-1E6AD1C215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47C-4F2A-BC67-1E6AD1C215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47C-4F2A-BC67-1E6AD1C215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47C-4F2A-BC67-1E6AD1C215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47C-4F2A-BC67-1E6AD1C215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47C-4F2A-BC67-1E6AD1C215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047C-4F2A-BC67-1E6AD1C215D3}"/>
              </c:ext>
            </c:extLst>
          </c:dPt>
          <c:dLbls>
            <c:dLbl>
              <c:idx val="0"/>
              <c:layout>
                <c:manualLayout>
                  <c:x val="-4.2893802350451584E-3"/>
                  <c:y val="-8.02394663342136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4212000166833618"/>
                      <c:h val="0.16616710411198601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9.5616519748198306E-2"/>
                  <c:y val="-1.0802188966984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4092436070892569"/>
                      <c:h val="0.19041669610509471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"/>
                  <c:y val="5.45685608320149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3685230321864497"/>
                      <c:h val="0.18838932633420818"/>
                    </c:manualLayout>
                  </c15:layout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47C-4F2A-BC67-1E6AD1C215D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7878776348553496E-2"/>
                  <c:y val="2.51852832304702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Contrato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39555300589551973"/>
                      <c:h val="0.19950043744531934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8.3636329045660443E-2"/>
                  <c:y val="0.412839745544661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Empenho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5701795144409871"/>
                      <c:h val="0.19950043744531928"/>
                    </c:manualLayout>
                  </c15:layout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047C-4F2A-BC67-1E6AD1C21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047C-4F2A-BC67-1E6AD1C21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AC8-4039-A5E0-4B088923C3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AC8-4039-A5E0-4B088923C3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AC8-4039-A5E0-4B088923C3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AC8-4039-A5E0-4B088923C3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AC8-4039-A5E0-4B088923C3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AC8-4039-A5E0-4B088923C3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AC8-4039-A5E0-4B088923C3A6}"/>
              </c:ext>
            </c:extLst>
          </c:dPt>
          <c:dLbls>
            <c:dLbl>
              <c:idx val="1"/>
              <c:layout>
                <c:manualLayout>
                  <c:x val="0.11285266457680251"/>
                  <c:y val="4.629629629629544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AC8-4039-A5E0-4B088923C3A6}"/>
                </c:ext>
                <c:ext xmlns:c15="http://schemas.microsoft.com/office/drawing/2012/chart" uri="{CE6537A1-D6FC-4f65-9D91-7224C49458BB}">
                  <c15:layout>
                    <c:manualLayout>
                      <c:w val="0.259435736677116"/>
                      <c:h val="0.11560185185185186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CAC8-4039-A5E0-4B088923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55599</xdr:rowOff>
    </xdr:from>
    <xdr:to>
      <xdr:col>4</xdr:col>
      <xdr:colOff>11206</xdr:colOff>
      <xdr:row>2</xdr:row>
      <xdr:rowOff>33618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3</xdr:row>
          <xdr:rowOff>0</xdr:rowOff>
        </xdr:to>
        <xdr:sp macro="" textlink="">
          <xdr:nvSpPr>
            <xdr:cNvPr id="8212" name="TextBox1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1828800</xdr:colOff>
          <xdr:row>3</xdr:row>
          <xdr:rowOff>0</xdr:rowOff>
        </xdr:to>
        <xdr:sp macro="" textlink="">
          <xdr:nvSpPr>
            <xdr:cNvPr id="8213" name="TextBox2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19050</xdr:colOff>
          <xdr:row>3</xdr:row>
          <xdr:rowOff>0</xdr:rowOff>
        </xdr:to>
        <xdr:sp macro="" textlink="">
          <xdr:nvSpPr>
            <xdr:cNvPr id="8214" name="TextBox3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19050</xdr:rowOff>
        </xdr:to>
        <xdr:sp macro="" textlink="">
          <xdr:nvSpPr>
            <xdr:cNvPr id="8215" name="TextBox4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552450</xdr:colOff>
          <xdr:row>3</xdr:row>
          <xdr:rowOff>0</xdr:rowOff>
        </xdr:to>
        <xdr:sp macro="" textlink="">
          <xdr:nvSpPr>
            <xdr:cNvPr id="8216" name="TextBox5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</xdr:row>
          <xdr:rowOff>0</xdr:rowOff>
        </xdr:from>
        <xdr:to>
          <xdr:col>5</xdr:col>
          <xdr:colOff>781050</xdr:colOff>
          <xdr:row>3</xdr:row>
          <xdr:rowOff>0</xdr:rowOff>
        </xdr:to>
        <xdr:sp macro="" textlink="">
          <xdr:nvSpPr>
            <xdr:cNvPr id="8217" name="TextBox6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0</xdr:rowOff>
        </xdr:from>
        <xdr:to>
          <xdr:col>6</xdr:col>
          <xdr:colOff>1838325</xdr:colOff>
          <xdr:row>3</xdr:row>
          <xdr:rowOff>0</xdr:rowOff>
        </xdr:to>
        <xdr:sp macro="" textlink="">
          <xdr:nvSpPr>
            <xdr:cNvPr id="8218" name="TextBox7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66675</xdr:colOff>
          <xdr:row>3</xdr:row>
          <xdr:rowOff>0</xdr:rowOff>
        </xdr:to>
        <xdr:sp macro="" textlink="">
          <xdr:nvSpPr>
            <xdr:cNvPr id="8219" name="TextBox8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914400</xdr:rowOff>
        </xdr:from>
        <xdr:to>
          <xdr:col>7</xdr:col>
          <xdr:colOff>1438275</xdr:colOff>
          <xdr:row>1</xdr:row>
          <xdr:rowOff>1123950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714375</xdr:rowOff>
        </xdr:from>
        <xdr:to>
          <xdr:col>8</xdr:col>
          <xdr:colOff>0</xdr:colOff>
          <xdr:row>1</xdr:row>
          <xdr:rowOff>895350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Mostrar todos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</xdr:colOff>
      <xdr:row>1</xdr:row>
      <xdr:rowOff>8282</xdr:rowOff>
    </xdr:from>
    <xdr:to>
      <xdr:col>5</xdr:col>
      <xdr:colOff>753717</xdr:colOff>
      <xdr:row>1</xdr:row>
      <xdr:rowOff>1275521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38100</xdr:rowOff>
        </xdr:from>
        <xdr:to>
          <xdr:col>7</xdr:col>
          <xdr:colOff>685800</xdr:colOff>
          <xdr:row>1</xdr:row>
          <xdr:rowOff>238125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247650</xdr:rowOff>
        </xdr:from>
        <xdr:to>
          <xdr:col>7</xdr:col>
          <xdr:colOff>685800</xdr:colOff>
          <xdr:row>1</xdr:row>
          <xdr:rowOff>419100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</xdr:row>
      <xdr:rowOff>71437</xdr:rowOff>
    </xdr:from>
    <xdr:to>
      <xdr:col>15</xdr:col>
      <xdr:colOff>304800</xdr:colOff>
      <xdr:row>18</xdr:row>
      <xdr:rowOff>61912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284"/>
  <sheetViews>
    <sheetView tabSelected="1" topLeftCell="D1" zoomScaleNormal="100" workbookViewId="0">
      <pane ySplit="4" topLeftCell="A281" activePane="bottomLeft" state="frozen"/>
      <selection pane="bottomLeft" activeCell="J5" sqref="J5"/>
    </sheetView>
  </sheetViews>
  <sheetFormatPr defaultColWidth="9.140625" defaultRowHeight="12" x14ac:dyDescent="0.2"/>
  <cols>
    <col min="1" max="1" width="11.140625" style="80" customWidth="1"/>
    <col min="2" max="2" width="27.5703125" style="80" customWidth="1"/>
    <col min="3" max="3" width="24.7109375" style="80" customWidth="1"/>
    <col min="4" max="4" width="12.42578125" style="81" customWidth="1"/>
    <col min="5" max="5" width="8.5703125" style="82" customWidth="1"/>
    <col min="6" max="6" width="11.85546875" style="83" customWidth="1"/>
    <col min="7" max="7" width="75.7109375" style="90" customWidth="1"/>
    <col min="8" max="8" width="19.7109375" style="80" customWidth="1"/>
    <col min="9" max="9" width="3" style="84" customWidth="1"/>
    <col min="10" max="10" width="4" style="55" bestFit="1" customWidth="1"/>
    <col min="11" max="11" width="25.7109375" style="55" bestFit="1" customWidth="1"/>
    <col min="12" max="12" width="4.140625" style="55" bestFit="1" customWidth="1"/>
    <col min="13" max="16384" width="9.140625" style="55"/>
  </cols>
  <sheetData>
    <row r="1" spans="1:11" ht="10.5" customHeight="1" x14ac:dyDescent="0.2">
      <c r="A1" s="116"/>
      <c r="B1" s="116"/>
      <c r="C1" s="116"/>
      <c r="D1" s="116"/>
      <c r="E1" s="116"/>
      <c r="F1" s="116"/>
      <c r="G1" s="116"/>
      <c r="H1" s="116"/>
      <c r="I1" s="117"/>
    </row>
    <row r="2" spans="1:11" ht="101.25" customHeight="1" x14ac:dyDescent="0.2">
      <c r="A2" s="61"/>
      <c r="B2" s="61"/>
      <c r="C2" s="61"/>
      <c r="D2" s="62"/>
      <c r="E2" s="63"/>
      <c r="F2" s="64"/>
      <c r="G2" s="113" t="str">
        <f>"Processos filtrados: " &amp; SUBTOTAL(3,H:H) &amp; CHAR(10) &amp;"Processos ativos: " &amp; COUNTIF(H:H,"*") - COUNTIF(I:I,"&gt;10") &amp; CHAR(10) &amp;  "  Prorrogações: " &amp;  COUNTIFS(F:F,"*prorr*",I:I,"&lt;12") &amp; CHAR(10) &amp; "  Repactuações: " &amp;  COUNTIFS(F:F,"*repactua*",I:I,"&lt;12") &amp; CHAR(10) &amp; "  Alterações: " &amp;  COUNTIFS(F:F,"*Alter*",I:I,"&lt;12") &amp; CHAR(10) &amp; "  Formalizações: " &amp;  COUNTIFS(F:F,"*Formaliza*",I:I,"&lt;12") &amp; CHAR(10) &amp; "  Reequilíbrios: " &amp;  COUNTIFS(F:F,"*reeq*",I:I,"&lt;12") &amp; CHAR(10) &amp; "  Rescisões: " &amp;  COUNTIFS(F:F,"*resci*",I:I,"&lt;12")</f>
        <v>Processos filtrados: 281
Processos ativos: 65
  Prorrogações: 16
  Repactuações: 8
  Alterações: 6
  Formalizações: 32
  Reequilíbrios: 0
  Rescisões: 0</v>
      </c>
      <c r="H2" s="114"/>
      <c r="I2" s="115"/>
    </row>
    <row r="3" spans="1:11" ht="18" customHeight="1" x14ac:dyDescent="0.2">
      <c r="A3" s="65"/>
      <c r="B3" s="65"/>
      <c r="C3" s="65"/>
      <c r="D3" s="65"/>
      <c r="E3" s="65"/>
      <c r="F3" s="65"/>
      <c r="G3" s="85"/>
      <c r="H3" s="66"/>
      <c r="I3" s="67"/>
    </row>
    <row r="4" spans="1:11" ht="12.75" customHeight="1" x14ac:dyDescent="0.2">
      <c r="A4" s="68" t="s">
        <v>372</v>
      </c>
      <c r="B4" s="68" t="s">
        <v>377</v>
      </c>
      <c r="C4" s="68" t="s">
        <v>378</v>
      </c>
      <c r="D4" s="69" t="s">
        <v>428</v>
      </c>
      <c r="E4" s="68" t="s">
        <v>379</v>
      </c>
      <c r="F4" s="68" t="s">
        <v>376</v>
      </c>
      <c r="G4" s="86" t="s">
        <v>373</v>
      </c>
      <c r="H4" s="68" t="s">
        <v>356</v>
      </c>
      <c r="I4" s="132" t="s">
        <v>374</v>
      </c>
      <c r="J4" s="112" t="s">
        <v>1349</v>
      </c>
    </row>
    <row r="5" spans="1:11" ht="60" x14ac:dyDescent="0.2">
      <c r="A5" s="70" t="s">
        <v>39</v>
      </c>
      <c r="B5" s="71" t="s">
        <v>59</v>
      </c>
      <c r="C5" s="71" t="s">
        <v>60</v>
      </c>
      <c r="D5" s="72" t="s">
        <v>61</v>
      </c>
      <c r="E5" s="70" t="s">
        <v>358</v>
      </c>
      <c r="F5" s="73" t="s">
        <v>380</v>
      </c>
      <c r="G5" s="87" t="s">
        <v>386</v>
      </c>
      <c r="H5" s="70" t="s">
        <v>370</v>
      </c>
      <c r="I5" s="133">
        <f>VLOOKUP(H5,Dados!$B$2:$C$53,2,0)</f>
        <v>13</v>
      </c>
      <c r="J5" s="112">
        <f>VLOOKUP(H5,Dados!$B$2:$E$53,4,0)</f>
        <v>100</v>
      </c>
    </row>
    <row r="6" spans="1:11" ht="48" x14ac:dyDescent="0.2">
      <c r="A6" s="70" t="s">
        <v>10</v>
      </c>
      <c r="B6" s="71" t="s">
        <v>64</v>
      </c>
      <c r="C6" s="71" t="s">
        <v>65</v>
      </c>
      <c r="D6" s="72" t="s">
        <v>66</v>
      </c>
      <c r="E6" s="70" t="s">
        <v>67</v>
      </c>
      <c r="F6" s="73" t="s">
        <v>380</v>
      </c>
      <c r="G6" s="87" t="s">
        <v>491</v>
      </c>
      <c r="H6" s="70" t="s">
        <v>370</v>
      </c>
      <c r="I6" s="132">
        <f>VLOOKUP(H6,Dados!$B$2:$C$53,2,0)</f>
        <v>13</v>
      </c>
      <c r="J6" s="112">
        <f>VLOOKUP(H6,Dados!$B$2:$E$53,4,0)</f>
        <v>100</v>
      </c>
    </row>
    <row r="7" spans="1:11" ht="72" x14ac:dyDescent="0.2">
      <c r="A7" s="70" t="s">
        <v>17</v>
      </c>
      <c r="B7" s="71" t="s">
        <v>69</v>
      </c>
      <c r="C7" s="71" t="s">
        <v>70</v>
      </c>
      <c r="D7" s="72" t="s">
        <v>71</v>
      </c>
      <c r="E7" s="70" t="s">
        <v>72</v>
      </c>
      <c r="F7" s="73" t="s">
        <v>380</v>
      </c>
      <c r="G7" s="87" t="s">
        <v>390</v>
      </c>
      <c r="H7" s="70" t="s">
        <v>370</v>
      </c>
      <c r="I7" s="133">
        <f>VLOOKUP(H7,Dados!$B$2:$C$53,2,0)</f>
        <v>13</v>
      </c>
      <c r="J7" s="112">
        <f>VLOOKUP(H7,Dados!$B$2:$E$53,4,0)</f>
        <v>100</v>
      </c>
    </row>
    <row r="8" spans="1:11" ht="72" x14ac:dyDescent="0.2">
      <c r="A8" s="70" t="s">
        <v>39</v>
      </c>
      <c r="B8" s="71" t="s">
        <v>83</v>
      </c>
      <c r="C8" s="71" t="s">
        <v>84</v>
      </c>
      <c r="D8" s="72"/>
      <c r="E8" s="70" t="s">
        <v>86</v>
      </c>
      <c r="F8" s="73" t="s">
        <v>380</v>
      </c>
      <c r="G8" s="87" t="s">
        <v>391</v>
      </c>
      <c r="H8" s="70" t="s">
        <v>431</v>
      </c>
      <c r="I8" s="133">
        <f>VLOOKUP(H8,Dados!$B$2:$C$53,2,0)</f>
        <v>13</v>
      </c>
      <c r="J8" s="112">
        <f>VLOOKUP(H8,Dados!$B$2:$E$53,4,0)</f>
        <v>100</v>
      </c>
    </row>
    <row r="9" spans="1:11" ht="84" x14ac:dyDescent="0.2">
      <c r="A9" s="70" t="s">
        <v>58</v>
      </c>
      <c r="B9" s="71" t="s">
        <v>95</v>
      </c>
      <c r="C9" s="71" t="s">
        <v>96</v>
      </c>
      <c r="D9" s="72" t="s">
        <v>97</v>
      </c>
      <c r="E9" s="70" t="s">
        <v>86</v>
      </c>
      <c r="F9" s="73" t="s">
        <v>380</v>
      </c>
      <c r="G9" s="87" t="s">
        <v>392</v>
      </c>
      <c r="H9" s="70" t="s">
        <v>370</v>
      </c>
      <c r="I9" s="133">
        <f>VLOOKUP(H9,Dados!$B$2:$C$53,2,0)</f>
        <v>13</v>
      </c>
      <c r="J9" s="112">
        <f>VLOOKUP(H9,Dados!$B$2:$E$53,4,0)</f>
        <v>100</v>
      </c>
    </row>
    <row r="10" spans="1:11" ht="60" x14ac:dyDescent="0.2">
      <c r="A10" s="70" t="s">
        <v>10</v>
      </c>
      <c r="B10" s="74" t="s">
        <v>104</v>
      </c>
      <c r="C10" s="71" t="s">
        <v>105</v>
      </c>
      <c r="D10" s="72" t="s">
        <v>106</v>
      </c>
      <c r="E10" s="70" t="s">
        <v>43</v>
      </c>
      <c r="F10" s="73" t="s">
        <v>380</v>
      </c>
      <c r="G10" s="87" t="s">
        <v>440</v>
      </c>
      <c r="H10" s="70" t="s">
        <v>370</v>
      </c>
      <c r="I10" s="132">
        <f>VLOOKUP(H10,Dados!$B$2:$C$53,2,0)</f>
        <v>13</v>
      </c>
      <c r="J10" s="112">
        <f>VLOOKUP(H10,Dados!$B$2:$E$53,4,0)</f>
        <v>100</v>
      </c>
    </row>
    <row r="11" spans="1:11" x14ac:dyDescent="0.2">
      <c r="A11" s="70" t="s">
        <v>17</v>
      </c>
      <c r="B11" s="71" t="s">
        <v>119</v>
      </c>
      <c r="C11" s="71" t="s">
        <v>585</v>
      </c>
      <c r="D11" s="72"/>
      <c r="E11" s="70"/>
      <c r="F11" s="73" t="s">
        <v>380</v>
      </c>
      <c r="G11" s="87" t="s">
        <v>384</v>
      </c>
      <c r="H11" s="70" t="s">
        <v>362</v>
      </c>
      <c r="I11" s="132">
        <f>VLOOKUP(H11,Dados!$B$2:$C$53,2,0)</f>
        <v>1</v>
      </c>
      <c r="J11" s="112">
        <f>VLOOKUP(H11,Dados!$B$2:$E$53,4,0)</f>
        <v>5</v>
      </c>
    </row>
    <row r="12" spans="1:11" ht="60" x14ac:dyDescent="0.2">
      <c r="A12" s="70" t="s">
        <v>58</v>
      </c>
      <c r="B12" s="71" t="s">
        <v>120</v>
      </c>
      <c r="C12" s="71" t="s">
        <v>84</v>
      </c>
      <c r="D12" s="72" t="s">
        <v>121</v>
      </c>
      <c r="E12" s="70" t="s">
        <v>122</v>
      </c>
      <c r="F12" s="73" t="s">
        <v>380</v>
      </c>
      <c r="G12" s="87" t="s">
        <v>385</v>
      </c>
      <c r="H12" s="70" t="s">
        <v>370</v>
      </c>
      <c r="I12" s="132">
        <f>VLOOKUP(H12,Dados!$B$2:$C$53,2,0)</f>
        <v>13</v>
      </c>
      <c r="J12" s="112">
        <f>VLOOKUP(H12,Dados!$B$2:$E$53,4,0)</f>
        <v>100</v>
      </c>
      <c r="K12" s="60"/>
    </row>
    <row r="13" spans="1:11" ht="72" x14ac:dyDescent="0.2">
      <c r="A13" s="70" t="s">
        <v>39</v>
      </c>
      <c r="B13" s="71" t="s">
        <v>124</v>
      </c>
      <c r="C13" s="71" t="s">
        <v>125</v>
      </c>
      <c r="D13" s="72" t="s">
        <v>126</v>
      </c>
      <c r="E13" s="70" t="s">
        <v>127</v>
      </c>
      <c r="F13" s="73" t="s">
        <v>380</v>
      </c>
      <c r="G13" s="87" t="s">
        <v>443</v>
      </c>
      <c r="H13" s="70" t="s">
        <v>370</v>
      </c>
      <c r="I13" s="132">
        <f>VLOOKUP(H13,Dados!$B$2:$C$53,2,0)</f>
        <v>13</v>
      </c>
      <c r="J13" s="112">
        <f>VLOOKUP(H13,Dados!$B$2:$E$53,4,0)</f>
        <v>100</v>
      </c>
      <c r="K13" s="56"/>
    </row>
    <row r="14" spans="1:11" ht="72" x14ac:dyDescent="0.2">
      <c r="A14" s="70" t="s">
        <v>10</v>
      </c>
      <c r="B14" s="71" t="s">
        <v>129</v>
      </c>
      <c r="C14" s="71" t="s">
        <v>130</v>
      </c>
      <c r="D14" s="72" t="s">
        <v>131</v>
      </c>
      <c r="E14" s="70" t="s">
        <v>132</v>
      </c>
      <c r="F14" s="73" t="s">
        <v>380</v>
      </c>
      <c r="G14" s="87" t="s">
        <v>433</v>
      </c>
      <c r="H14" s="70" t="s">
        <v>370</v>
      </c>
      <c r="I14" s="132">
        <f>VLOOKUP(H14,Dados!$B$2:$C$53,2,0)</f>
        <v>13</v>
      </c>
      <c r="J14" s="112">
        <f>VLOOKUP(H14,Dados!$B$2:$E$53,4,0)</f>
        <v>100</v>
      </c>
      <c r="K14" s="56"/>
    </row>
    <row r="15" spans="1:11" ht="60" x14ac:dyDescent="0.2">
      <c r="A15" s="70" t="s">
        <v>39</v>
      </c>
      <c r="B15" s="71" t="s">
        <v>146</v>
      </c>
      <c r="C15" s="75" t="s">
        <v>147</v>
      </c>
      <c r="D15" s="72" t="s">
        <v>148</v>
      </c>
      <c r="E15" s="70" t="s">
        <v>16</v>
      </c>
      <c r="F15" s="73" t="s">
        <v>380</v>
      </c>
      <c r="G15" s="87" t="s">
        <v>393</v>
      </c>
      <c r="H15" s="70" t="s">
        <v>370</v>
      </c>
      <c r="I15" s="133">
        <f>VLOOKUP(H15,Dados!$B$2:$C$53,2,0)</f>
        <v>13</v>
      </c>
      <c r="J15" s="112">
        <f>VLOOKUP(H15,Dados!$B$2:$E$53,4,0)</f>
        <v>100</v>
      </c>
    </row>
    <row r="16" spans="1:11" ht="72" x14ac:dyDescent="0.2">
      <c r="A16" s="70" t="s">
        <v>10</v>
      </c>
      <c r="B16" s="71" t="s">
        <v>11</v>
      </c>
      <c r="C16" s="71" t="s">
        <v>150</v>
      </c>
      <c r="D16" s="72" t="s">
        <v>151</v>
      </c>
      <c r="E16" s="70" t="s">
        <v>8</v>
      </c>
      <c r="F16" s="73" t="s">
        <v>380</v>
      </c>
      <c r="G16" s="87" t="s">
        <v>434</v>
      </c>
      <c r="H16" s="70" t="s">
        <v>370</v>
      </c>
      <c r="I16" s="132">
        <f>VLOOKUP(H16,Dados!$B$2:$C$53,2,0)</f>
        <v>13</v>
      </c>
      <c r="J16" s="112">
        <f>VLOOKUP(H16,Dados!$B$2:$E$53,4,0)</f>
        <v>100</v>
      </c>
    </row>
    <row r="17" spans="1:10" ht="60" x14ac:dyDescent="0.2">
      <c r="A17" s="70" t="s">
        <v>58</v>
      </c>
      <c r="B17" s="71" t="s">
        <v>156</v>
      </c>
      <c r="C17" s="71" t="s">
        <v>157</v>
      </c>
      <c r="D17" s="72" t="s">
        <v>1218</v>
      </c>
      <c r="E17" s="70" t="s">
        <v>67</v>
      </c>
      <c r="F17" s="73" t="s">
        <v>380</v>
      </c>
      <c r="G17" s="87" t="s">
        <v>613</v>
      </c>
      <c r="H17" s="70" t="s">
        <v>370</v>
      </c>
      <c r="I17" s="132">
        <f>VLOOKUP(H17,Dados!$B$2:$C$53,2,0)</f>
        <v>13</v>
      </c>
      <c r="J17" s="112">
        <f>VLOOKUP(H17,Dados!$B$2:$E$53,4,0)</f>
        <v>100</v>
      </c>
    </row>
    <row r="18" spans="1:10" ht="48" x14ac:dyDescent="0.2">
      <c r="A18" s="70" t="s">
        <v>39</v>
      </c>
      <c r="B18" s="71" t="s">
        <v>160</v>
      </c>
      <c r="C18" s="71" t="s">
        <v>161</v>
      </c>
      <c r="D18" s="72"/>
      <c r="E18" s="70"/>
      <c r="F18" s="73" t="s">
        <v>380</v>
      </c>
      <c r="G18" s="88" t="s">
        <v>444</v>
      </c>
      <c r="H18" s="70" t="s">
        <v>370</v>
      </c>
      <c r="I18" s="132">
        <f>VLOOKUP(H18,Dados!$B$2:$C$53,2,0)</f>
        <v>13</v>
      </c>
      <c r="J18" s="112">
        <f>VLOOKUP(H18,Dados!$B$2:$E$53,4,0)</f>
        <v>100</v>
      </c>
    </row>
    <row r="19" spans="1:10" ht="96" x14ac:dyDescent="0.2">
      <c r="A19" s="70" t="s">
        <v>10</v>
      </c>
      <c r="B19" s="71" t="s">
        <v>162</v>
      </c>
      <c r="C19" s="71" t="s">
        <v>84</v>
      </c>
      <c r="D19" s="72" t="s">
        <v>1083</v>
      </c>
      <c r="E19" s="70" t="s">
        <v>164</v>
      </c>
      <c r="F19" s="73" t="s">
        <v>380</v>
      </c>
      <c r="G19" s="87" t="s">
        <v>1239</v>
      </c>
      <c r="H19" s="70" t="s">
        <v>370</v>
      </c>
      <c r="I19" s="132">
        <f>VLOOKUP(H19,Dados!$B$2:$C$53,2,0)</f>
        <v>13</v>
      </c>
      <c r="J19" s="112">
        <f>VLOOKUP(H19,Dados!$B$2:$E$53,4,0)</f>
        <v>100</v>
      </c>
    </row>
    <row r="20" spans="1:10" ht="120" x14ac:dyDescent="0.2">
      <c r="A20" s="70" t="s">
        <v>58</v>
      </c>
      <c r="B20" s="71" t="s">
        <v>174</v>
      </c>
      <c r="C20" s="71" t="s">
        <v>84</v>
      </c>
      <c r="D20" s="72" t="s">
        <v>175</v>
      </c>
      <c r="E20" s="70" t="s">
        <v>127</v>
      </c>
      <c r="F20" s="73" t="s">
        <v>380</v>
      </c>
      <c r="G20" s="87" t="s">
        <v>755</v>
      </c>
      <c r="H20" s="70" t="s">
        <v>370</v>
      </c>
      <c r="I20" s="132">
        <f>VLOOKUP(H20,Dados!$B$2:$C$53,2,0)</f>
        <v>13</v>
      </c>
      <c r="J20" s="112">
        <f>VLOOKUP(H20,Dados!$B$2:$E$53,4,0)</f>
        <v>100</v>
      </c>
    </row>
    <row r="21" spans="1:10" ht="72" x14ac:dyDescent="0.2">
      <c r="A21" s="70" t="s">
        <v>39</v>
      </c>
      <c r="B21" s="71" t="s">
        <v>180</v>
      </c>
      <c r="C21" s="71" t="s">
        <v>181</v>
      </c>
      <c r="D21" s="72" t="s">
        <v>182</v>
      </c>
      <c r="E21" s="70" t="s">
        <v>86</v>
      </c>
      <c r="F21" s="73" t="s">
        <v>380</v>
      </c>
      <c r="G21" s="87" t="s">
        <v>445</v>
      </c>
      <c r="H21" s="70" t="s">
        <v>370</v>
      </c>
      <c r="I21" s="132">
        <f>VLOOKUP(H21,Dados!$B$2:$C$53,2,0)</f>
        <v>13</v>
      </c>
      <c r="J21" s="112">
        <f>VLOOKUP(H21,Dados!$B$2:$E$53,4,0)</f>
        <v>100</v>
      </c>
    </row>
    <row r="22" spans="1:10" ht="60" x14ac:dyDescent="0.2">
      <c r="A22" s="70" t="s">
        <v>10</v>
      </c>
      <c r="B22" s="71" t="s">
        <v>436</v>
      </c>
      <c r="C22" s="71" t="s">
        <v>184</v>
      </c>
      <c r="D22" s="72" t="s">
        <v>185</v>
      </c>
      <c r="E22" s="70" t="s">
        <v>77</v>
      </c>
      <c r="F22" s="73" t="s">
        <v>380</v>
      </c>
      <c r="G22" s="87" t="s">
        <v>437</v>
      </c>
      <c r="H22" s="70" t="s">
        <v>370</v>
      </c>
      <c r="I22" s="132">
        <f>VLOOKUP(H22,Dados!$B$2:$C$53,2,0)</f>
        <v>13</v>
      </c>
      <c r="J22" s="112">
        <f>VLOOKUP(H22,Dados!$B$2:$E$53,4,0)</f>
        <v>100</v>
      </c>
    </row>
    <row r="23" spans="1:10" ht="36" x14ac:dyDescent="0.2">
      <c r="A23" s="70" t="s">
        <v>39</v>
      </c>
      <c r="B23" s="71" t="s">
        <v>142</v>
      </c>
      <c r="C23" s="71" t="s">
        <v>143</v>
      </c>
      <c r="D23" s="72" t="s">
        <v>190</v>
      </c>
      <c r="E23" s="70" t="s">
        <v>38</v>
      </c>
      <c r="F23" s="73" t="s">
        <v>380</v>
      </c>
      <c r="G23" s="87" t="s">
        <v>394</v>
      </c>
      <c r="H23" s="70" t="s">
        <v>370</v>
      </c>
      <c r="I23" s="133">
        <f>VLOOKUP(H23,Dados!$B$2:$C$53,2,0)</f>
        <v>13</v>
      </c>
      <c r="J23" s="112">
        <f>VLOOKUP(H23,Dados!$B$2:$E$53,4,0)</f>
        <v>100</v>
      </c>
    </row>
    <row r="24" spans="1:10" ht="132" x14ac:dyDescent="0.2">
      <c r="A24" s="70" t="s">
        <v>58</v>
      </c>
      <c r="B24" s="71" t="s">
        <v>207</v>
      </c>
      <c r="C24" s="71" t="s">
        <v>208</v>
      </c>
      <c r="D24" s="72" t="s">
        <v>209</v>
      </c>
      <c r="E24" s="70" t="s">
        <v>210</v>
      </c>
      <c r="F24" s="73" t="s">
        <v>380</v>
      </c>
      <c r="G24" s="87" t="s">
        <v>885</v>
      </c>
      <c r="H24" s="70" t="s">
        <v>370</v>
      </c>
      <c r="I24" s="132">
        <f>VLOOKUP(H24,Dados!$B$2:$C$53,2,0)</f>
        <v>13</v>
      </c>
      <c r="J24" s="112">
        <f>VLOOKUP(H24,Dados!$B$2:$E$53,4,0)</f>
        <v>100</v>
      </c>
    </row>
    <row r="25" spans="1:10" ht="156" x14ac:dyDescent="0.2">
      <c r="A25" s="70" t="s">
        <v>58</v>
      </c>
      <c r="B25" s="71" t="s">
        <v>219</v>
      </c>
      <c r="C25" s="71" t="s">
        <v>220</v>
      </c>
      <c r="D25" s="72" t="s">
        <v>221</v>
      </c>
      <c r="E25" s="70" t="s">
        <v>222</v>
      </c>
      <c r="F25" s="73" t="s">
        <v>380</v>
      </c>
      <c r="G25" s="87" t="s">
        <v>740</v>
      </c>
      <c r="H25" s="70" t="s">
        <v>370</v>
      </c>
      <c r="I25" s="133">
        <f>VLOOKUP(H25,Dados!$B$2:$C$53,2,0)</f>
        <v>13</v>
      </c>
      <c r="J25" s="112">
        <f>VLOOKUP(H25,Dados!$B$2:$E$53,4,0)</f>
        <v>100</v>
      </c>
    </row>
    <row r="26" spans="1:10" ht="72" x14ac:dyDescent="0.2">
      <c r="A26" s="70" t="s">
        <v>39</v>
      </c>
      <c r="B26" s="71" t="s">
        <v>224</v>
      </c>
      <c r="C26" s="71" t="s">
        <v>225</v>
      </c>
      <c r="D26" s="72" t="s">
        <v>226</v>
      </c>
      <c r="E26" s="70" t="s">
        <v>112</v>
      </c>
      <c r="F26" s="73" t="s">
        <v>380</v>
      </c>
      <c r="G26" s="87" t="s">
        <v>446</v>
      </c>
      <c r="H26" s="70" t="s">
        <v>370</v>
      </c>
      <c r="I26" s="132">
        <f>VLOOKUP(H26,Dados!$B$2:$C$53,2,0)</f>
        <v>13</v>
      </c>
      <c r="J26" s="112">
        <f>VLOOKUP(H26,Dados!$B$2:$E$53,4,0)</f>
        <v>100</v>
      </c>
    </row>
    <row r="27" spans="1:10" ht="72" x14ac:dyDescent="0.2">
      <c r="A27" s="70" t="s">
        <v>39</v>
      </c>
      <c r="B27" s="71" t="s">
        <v>230</v>
      </c>
      <c r="C27" s="71" t="s">
        <v>231</v>
      </c>
      <c r="D27" s="72" t="s">
        <v>232</v>
      </c>
      <c r="E27" s="70" t="s">
        <v>16</v>
      </c>
      <c r="F27" s="73" t="s">
        <v>380</v>
      </c>
      <c r="G27" s="87" t="s">
        <v>446</v>
      </c>
      <c r="H27" s="70" t="s">
        <v>370</v>
      </c>
      <c r="I27" s="132">
        <f>VLOOKUP(H27,Dados!$B$2:$C$53,2,0)</f>
        <v>13</v>
      </c>
      <c r="J27" s="112">
        <f>VLOOKUP(H27,Dados!$B$2:$E$53,4,0)</f>
        <v>100</v>
      </c>
    </row>
    <row r="28" spans="1:10" ht="36" x14ac:dyDescent="0.2">
      <c r="A28" s="70" t="s">
        <v>10</v>
      </c>
      <c r="B28" s="71" t="s">
        <v>142</v>
      </c>
      <c r="C28" s="71" t="s">
        <v>234</v>
      </c>
      <c r="D28" s="72" t="s">
        <v>144</v>
      </c>
      <c r="E28" s="70" t="s">
        <v>38</v>
      </c>
      <c r="F28" s="73" t="s">
        <v>380</v>
      </c>
      <c r="G28" s="87" t="s">
        <v>441</v>
      </c>
      <c r="H28" s="70" t="s">
        <v>370</v>
      </c>
      <c r="I28" s="133">
        <f>VLOOKUP(H28,Dados!$B$2:$C$53,2,0)</f>
        <v>13</v>
      </c>
      <c r="J28" s="112">
        <f>VLOOKUP(H28,Dados!$B$2:$E$53,4,0)</f>
        <v>100</v>
      </c>
    </row>
    <row r="29" spans="1:10" ht="84" x14ac:dyDescent="0.2">
      <c r="A29" s="70" t="s">
        <v>58</v>
      </c>
      <c r="B29" s="71" t="s">
        <v>257</v>
      </c>
      <c r="C29" s="71" t="s">
        <v>258</v>
      </c>
      <c r="D29" s="72" t="s">
        <v>259</v>
      </c>
      <c r="E29" s="70" t="s">
        <v>77</v>
      </c>
      <c r="F29" s="73" t="s">
        <v>380</v>
      </c>
      <c r="G29" s="87" t="s">
        <v>453</v>
      </c>
      <c r="H29" s="70" t="s">
        <v>370</v>
      </c>
      <c r="I29" s="132">
        <f>VLOOKUP(H29,Dados!$B$2:$C$53,2,0)</f>
        <v>13</v>
      </c>
      <c r="J29" s="112">
        <f>VLOOKUP(H29,Dados!$B$2:$E$53,4,0)</f>
        <v>100</v>
      </c>
    </row>
    <row r="30" spans="1:10" ht="120" x14ac:dyDescent="0.2">
      <c r="A30" s="70" t="s">
        <v>10</v>
      </c>
      <c r="B30" s="71" t="s">
        <v>263</v>
      </c>
      <c r="C30" s="71" t="s">
        <v>84</v>
      </c>
      <c r="D30" s="72" t="s">
        <v>262</v>
      </c>
      <c r="E30" s="70" t="s">
        <v>155</v>
      </c>
      <c r="F30" s="73" t="s">
        <v>380</v>
      </c>
      <c r="G30" s="87" t="s">
        <v>947</v>
      </c>
      <c r="H30" s="70" t="s">
        <v>369</v>
      </c>
      <c r="I30" s="132">
        <f>VLOOKUP(H30,Dados!$B$2:$C$53,2,0)</f>
        <v>12</v>
      </c>
      <c r="J30" s="112">
        <f>VLOOKUP(H30,Dados!$B$2:$E$53,4,0)</f>
        <v>95</v>
      </c>
    </row>
    <row r="31" spans="1:10" ht="96" x14ac:dyDescent="0.2">
      <c r="A31" s="70" t="s">
        <v>58</v>
      </c>
      <c r="B31" s="71" t="s">
        <v>110</v>
      </c>
      <c r="C31" s="71" t="s">
        <v>84</v>
      </c>
      <c r="D31" s="72" t="s">
        <v>306</v>
      </c>
      <c r="E31" s="70" t="s">
        <v>112</v>
      </c>
      <c r="F31" s="73" t="s">
        <v>380</v>
      </c>
      <c r="G31" s="87" t="s">
        <v>847</v>
      </c>
      <c r="H31" s="70" t="s">
        <v>387</v>
      </c>
      <c r="I31" s="132">
        <f>VLOOKUP(H31,Dados!$B$2:$C$53,2,0)</f>
        <v>10</v>
      </c>
      <c r="J31" s="112">
        <f>VLOOKUP(H31,Dados!$B$2:$E$53,4,0)</f>
        <v>80</v>
      </c>
    </row>
    <row r="32" spans="1:10" ht="48" x14ac:dyDescent="0.2">
      <c r="A32" s="70" t="s">
        <v>39</v>
      </c>
      <c r="B32" s="71" t="s">
        <v>294</v>
      </c>
      <c r="C32" s="71" t="s">
        <v>295</v>
      </c>
      <c r="D32" s="72" t="s">
        <v>296</v>
      </c>
      <c r="E32" s="70" t="s">
        <v>38</v>
      </c>
      <c r="F32" s="73" t="s">
        <v>380</v>
      </c>
      <c r="G32" s="87" t="s">
        <v>447</v>
      </c>
      <c r="H32" s="70" t="s">
        <v>370</v>
      </c>
      <c r="I32" s="133">
        <f>VLOOKUP(H32,Dados!$B$2:$C$53,2,0)</f>
        <v>13</v>
      </c>
      <c r="J32" s="112">
        <f>VLOOKUP(H32,Dados!$B$2:$E$53,4,0)</f>
        <v>100</v>
      </c>
    </row>
    <row r="33" spans="1:10" ht="96" x14ac:dyDescent="0.2">
      <c r="A33" s="70" t="s">
        <v>10</v>
      </c>
      <c r="B33" s="71" t="s">
        <v>298</v>
      </c>
      <c r="C33" s="71" t="s">
        <v>299</v>
      </c>
      <c r="D33" s="72" t="s">
        <v>300</v>
      </c>
      <c r="E33" s="70" t="s">
        <v>301</v>
      </c>
      <c r="F33" s="73" t="s">
        <v>380</v>
      </c>
      <c r="G33" s="87" t="s">
        <v>641</v>
      </c>
      <c r="H33" s="70" t="s">
        <v>370</v>
      </c>
      <c r="I33" s="132">
        <f>VLOOKUP(H33,Dados!$B$2:$C$53,2,0)</f>
        <v>13</v>
      </c>
      <c r="J33" s="112">
        <f>VLOOKUP(H33,Dados!$B$2:$E$53,4,0)</f>
        <v>100</v>
      </c>
    </row>
    <row r="34" spans="1:10" ht="120" x14ac:dyDescent="0.2">
      <c r="A34" s="70" t="s">
        <v>17</v>
      </c>
      <c r="B34" s="71" t="s">
        <v>349</v>
      </c>
      <c r="C34" s="71" t="s">
        <v>351</v>
      </c>
      <c r="D34" s="72" t="s">
        <v>350</v>
      </c>
      <c r="E34" s="70" t="s">
        <v>273</v>
      </c>
      <c r="F34" s="73" t="s">
        <v>380</v>
      </c>
      <c r="G34" s="87" t="s">
        <v>981</v>
      </c>
      <c r="H34" s="70" t="s">
        <v>370</v>
      </c>
      <c r="I34" s="132">
        <f>VLOOKUP(H34,Dados!$B$2:$C$53,2,0)</f>
        <v>13</v>
      </c>
      <c r="J34" s="112">
        <f>VLOOKUP(H34,Dados!$B$2:$E$53,4,0)</f>
        <v>100</v>
      </c>
    </row>
    <row r="35" spans="1:10" ht="24" x14ac:dyDescent="0.2">
      <c r="A35" s="70" t="s">
        <v>39</v>
      </c>
      <c r="B35" s="71" t="s">
        <v>7</v>
      </c>
      <c r="C35" s="71" t="s">
        <v>79</v>
      </c>
      <c r="D35" s="72" t="s">
        <v>54</v>
      </c>
      <c r="E35" s="70" t="s">
        <v>8</v>
      </c>
      <c r="F35" s="73" t="s">
        <v>381</v>
      </c>
      <c r="G35" s="88" t="s">
        <v>395</v>
      </c>
      <c r="H35" s="70" t="s">
        <v>370</v>
      </c>
      <c r="I35" s="132">
        <f>VLOOKUP(H35,Dados!$B$2:$C$53,2,0)</f>
        <v>13</v>
      </c>
      <c r="J35" s="112">
        <f>VLOOKUP(H35,Dados!$B$2:$E$53,4,0)</f>
        <v>100</v>
      </c>
    </row>
    <row r="36" spans="1:10" ht="24" x14ac:dyDescent="0.2">
      <c r="A36" s="70" t="s">
        <v>10</v>
      </c>
      <c r="B36" s="71" t="s">
        <v>78</v>
      </c>
      <c r="C36" s="71" t="s">
        <v>80</v>
      </c>
      <c r="D36" s="72" t="s">
        <v>81</v>
      </c>
      <c r="E36" s="70" t="s">
        <v>82</v>
      </c>
      <c r="F36" s="73" t="s">
        <v>381</v>
      </c>
      <c r="G36" s="88" t="s">
        <v>442</v>
      </c>
      <c r="H36" s="70" t="s">
        <v>370</v>
      </c>
      <c r="I36" s="132">
        <f>VLOOKUP(H36,Dados!$B$2:$C$53,2,0)</f>
        <v>13</v>
      </c>
      <c r="J36" s="112">
        <f>VLOOKUP(H36,Dados!$B$2:$E$53,4,0)</f>
        <v>100</v>
      </c>
    </row>
    <row r="37" spans="1:10" ht="48" x14ac:dyDescent="0.2">
      <c r="A37" s="70" t="s">
        <v>17</v>
      </c>
      <c r="B37" s="71" t="s">
        <v>110</v>
      </c>
      <c r="C37" s="71" t="s">
        <v>84</v>
      </c>
      <c r="D37" s="72" t="s">
        <v>111</v>
      </c>
      <c r="E37" s="70" t="s">
        <v>112</v>
      </c>
      <c r="F37" s="73" t="s">
        <v>381</v>
      </c>
      <c r="G37" s="88" t="s">
        <v>886</v>
      </c>
      <c r="H37" s="70" t="s">
        <v>370</v>
      </c>
      <c r="I37" s="133">
        <f>VLOOKUP(H37,Dados!$B$2:$C$53,2,0)</f>
        <v>13</v>
      </c>
      <c r="J37" s="112">
        <f>VLOOKUP(H37,Dados!$B$2:$E$53,4,0)</f>
        <v>100</v>
      </c>
    </row>
    <row r="38" spans="1:10" ht="36" x14ac:dyDescent="0.2">
      <c r="A38" s="70" t="s">
        <v>58</v>
      </c>
      <c r="B38" s="71" t="s">
        <v>40</v>
      </c>
      <c r="C38" s="71" t="s">
        <v>140</v>
      </c>
      <c r="D38" s="72" t="s">
        <v>141</v>
      </c>
      <c r="E38" s="70" t="s">
        <v>43</v>
      </c>
      <c r="F38" s="73" t="s">
        <v>381</v>
      </c>
      <c r="G38" s="88" t="s">
        <v>396</v>
      </c>
      <c r="H38" s="70" t="s">
        <v>370</v>
      </c>
      <c r="I38" s="133">
        <f>VLOOKUP(H38,Dados!$B$2:$C$53,2,0)</f>
        <v>13</v>
      </c>
      <c r="J38" s="112">
        <f>VLOOKUP(H38,Dados!$B$2:$E$53,4,0)</f>
        <v>100</v>
      </c>
    </row>
    <row r="39" spans="1:10" ht="72" x14ac:dyDescent="0.2">
      <c r="A39" s="70" t="s">
        <v>39</v>
      </c>
      <c r="B39" s="71" t="s">
        <v>113</v>
      </c>
      <c r="C39" s="71" t="s">
        <v>114</v>
      </c>
      <c r="D39" s="72" t="s">
        <v>115</v>
      </c>
      <c r="E39" s="70" t="s">
        <v>360</v>
      </c>
      <c r="F39" s="73" t="s">
        <v>381</v>
      </c>
      <c r="G39" s="88" t="s">
        <v>554</v>
      </c>
      <c r="H39" s="70" t="s">
        <v>370</v>
      </c>
      <c r="I39" s="132">
        <f>VLOOKUP(H39,Dados!$B$2:$C$53,2,0)</f>
        <v>13</v>
      </c>
      <c r="J39" s="112">
        <f>VLOOKUP(H39,Dados!$B$2:$E$53,4,0)</f>
        <v>100</v>
      </c>
    </row>
    <row r="40" spans="1:10" ht="60" x14ac:dyDescent="0.2">
      <c r="A40" s="70" t="s">
        <v>10</v>
      </c>
      <c r="B40" s="74" t="s">
        <v>118</v>
      </c>
      <c r="C40" s="71" t="s">
        <v>79</v>
      </c>
      <c r="D40" s="72" t="s">
        <v>1218</v>
      </c>
      <c r="E40" s="70" t="s">
        <v>67</v>
      </c>
      <c r="F40" s="73" t="s">
        <v>381</v>
      </c>
      <c r="G40" s="88" t="s">
        <v>1232</v>
      </c>
      <c r="H40" s="70" t="s">
        <v>370</v>
      </c>
      <c r="I40" s="132">
        <f>VLOOKUP(H40,Dados!$B$2:$C$53,2,0)</f>
        <v>13</v>
      </c>
      <c r="J40" s="112">
        <f>VLOOKUP(H40,Dados!$B$2:$E$53,4,0)</f>
        <v>100</v>
      </c>
    </row>
    <row r="41" spans="1:10" ht="48" x14ac:dyDescent="0.2">
      <c r="A41" s="70" t="s">
        <v>39</v>
      </c>
      <c r="B41" s="71" t="s">
        <v>166</v>
      </c>
      <c r="C41" s="71" t="s">
        <v>167</v>
      </c>
      <c r="D41" s="72" t="s">
        <v>168</v>
      </c>
      <c r="E41" s="70" t="s">
        <v>16</v>
      </c>
      <c r="F41" s="73" t="s">
        <v>381</v>
      </c>
      <c r="G41" s="88" t="s">
        <v>448</v>
      </c>
      <c r="H41" s="70" t="s">
        <v>362</v>
      </c>
      <c r="I41" s="132">
        <f>VLOOKUP(H41,Dados!$B$2:$C$53,2,0)</f>
        <v>1</v>
      </c>
      <c r="J41" s="112">
        <f>VLOOKUP(H41,Dados!$B$2:$E$53,4,0)</f>
        <v>5</v>
      </c>
    </row>
    <row r="42" spans="1:10" ht="36" x14ac:dyDescent="0.2">
      <c r="A42" s="70" t="s">
        <v>10</v>
      </c>
      <c r="B42" s="71" t="s">
        <v>228</v>
      </c>
      <c r="C42" s="71" t="s">
        <v>84</v>
      </c>
      <c r="D42" s="72" t="s">
        <v>229</v>
      </c>
      <c r="E42" s="70" t="s">
        <v>188</v>
      </c>
      <c r="F42" s="73" t="s">
        <v>381</v>
      </c>
      <c r="G42" s="88" t="s">
        <v>439</v>
      </c>
      <c r="H42" s="70" t="s">
        <v>370</v>
      </c>
      <c r="I42" s="132">
        <f>VLOOKUP(H42,Dados!$B$2:$C$53,2,0)</f>
        <v>13</v>
      </c>
      <c r="J42" s="112">
        <f>VLOOKUP(H42,Dados!$B$2:$E$53,4,0)</f>
        <v>100</v>
      </c>
    </row>
    <row r="43" spans="1:10" ht="60" x14ac:dyDescent="0.2">
      <c r="A43" s="70" t="s">
        <v>58</v>
      </c>
      <c r="B43" s="71" t="s">
        <v>241</v>
      </c>
      <c r="C43" s="71" t="s">
        <v>140</v>
      </c>
      <c r="D43" s="72" t="s">
        <v>242</v>
      </c>
      <c r="E43" s="70" t="s">
        <v>188</v>
      </c>
      <c r="F43" s="73" t="s">
        <v>381</v>
      </c>
      <c r="G43" s="88" t="s">
        <v>546</v>
      </c>
      <c r="H43" s="70" t="s">
        <v>370</v>
      </c>
      <c r="I43" s="132">
        <f>VLOOKUP(H43,Dados!$B$2:$C$53,2,0)</f>
        <v>13</v>
      </c>
      <c r="J43" s="112">
        <f>VLOOKUP(H43,Dados!$B$2:$E$53,4,0)</f>
        <v>100</v>
      </c>
    </row>
    <row r="44" spans="1:10" ht="36" x14ac:dyDescent="0.2">
      <c r="A44" s="70" t="s">
        <v>39</v>
      </c>
      <c r="B44" s="71" t="s">
        <v>261</v>
      </c>
      <c r="C44" s="75" t="s">
        <v>84</v>
      </c>
      <c r="D44" s="72" t="s">
        <v>262</v>
      </c>
      <c r="E44" s="70" t="s">
        <v>155</v>
      </c>
      <c r="F44" s="73" t="s">
        <v>381</v>
      </c>
      <c r="G44" s="88" t="s">
        <v>397</v>
      </c>
      <c r="H44" s="70" t="s">
        <v>370</v>
      </c>
      <c r="I44" s="132">
        <f>VLOOKUP(H44,Dados!$B$2:$C$53,2,0)</f>
        <v>13</v>
      </c>
      <c r="J44" s="112">
        <f>VLOOKUP(H44,Dados!$B$2:$E$53,4,0)</f>
        <v>100</v>
      </c>
    </row>
    <row r="45" spans="1:10" ht="36" x14ac:dyDescent="0.2">
      <c r="A45" s="70" t="s">
        <v>10</v>
      </c>
      <c r="B45" s="71" t="s">
        <v>64</v>
      </c>
      <c r="C45" s="71" t="s">
        <v>84</v>
      </c>
      <c r="D45" s="72" t="s">
        <v>66</v>
      </c>
      <c r="E45" s="70" t="s">
        <v>67</v>
      </c>
      <c r="F45" s="73" t="s">
        <v>381</v>
      </c>
      <c r="G45" s="88" t="s">
        <v>438</v>
      </c>
      <c r="H45" s="70" t="s">
        <v>370</v>
      </c>
      <c r="I45" s="132">
        <f>VLOOKUP(H45,Dados!$B$2:$C$53,2,0)</f>
        <v>13</v>
      </c>
      <c r="J45" s="112">
        <f>VLOOKUP(H45,Dados!$B$2:$E$53,4,0)</f>
        <v>100</v>
      </c>
    </row>
    <row r="46" spans="1:10" ht="60" x14ac:dyDescent="0.2">
      <c r="A46" s="70" t="s">
        <v>58</v>
      </c>
      <c r="B46" s="71" t="s">
        <v>270</v>
      </c>
      <c r="C46" s="71" t="s">
        <v>271</v>
      </c>
      <c r="D46" s="72" t="s">
        <v>272</v>
      </c>
      <c r="E46" s="70" t="s">
        <v>273</v>
      </c>
      <c r="F46" s="73" t="s">
        <v>381</v>
      </c>
      <c r="G46" s="88" t="s">
        <v>978</v>
      </c>
      <c r="H46" s="70" t="s">
        <v>369</v>
      </c>
      <c r="I46" s="132">
        <f>VLOOKUP(H46,Dados!$B$2:$C$53,2,0)</f>
        <v>12</v>
      </c>
      <c r="J46" s="112">
        <f>VLOOKUP(H46,Dados!$B$2:$E$53,4,0)</f>
        <v>95</v>
      </c>
    </row>
    <row r="47" spans="1:10" ht="48" x14ac:dyDescent="0.2">
      <c r="A47" s="70" t="s">
        <v>39</v>
      </c>
      <c r="B47" s="71" t="s">
        <v>276</v>
      </c>
      <c r="C47" s="71" t="s">
        <v>84</v>
      </c>
      <c r="D47" s="72" t="s">
        <v>277</v>
      </c>
      <c r="E47" s="70" t="s">
        <v>278</v>
      </c>
      <c r="F47" s="73" t="s">
        <v>381</v>
      </c>
      <c r="G47" s="88" t="s">
        <v>449</v>
      </c>
      <c r="H47" s="70" t="s">
        <v>370</v>
      </c>
      <c r="I47" s="132">
        <f>VLOOKUP(H47,Dados!$B$2:$C$53,2,0)</f>
        <v>13</v>
      </c>
      <c r="J47" s="112">
        <f>VLOOKUP(H47,Dados!$B$2:$E$53,4,0)</f>
        <v>100</v>
      </c>
    </row>
    <row r="48" spans="1:10" ht="84" x14ac:dyDescent="0.2">
      <c r="A48" s="70" t="s">
        <v>10</v>
      </c>
      <c r="B48" s="71" t="s">
        <v>162</v>
      </c>
      <c r="C48" s="71" t="s">
        <v>84</v>
      </c>
      <c r="D48" s="72" t="s">
        <v>1083</v>
      </c>
      <c r="E48" s="70" t="s">
        <v>164</v>
      </c>
      <c r="F48" s="73" t="s">
        <v>381</v>
      </c>
      <c r="G48" s="88" t="s">
        <v>1328</v>
      </c>
      <c r="H48" s="70" t="s">
        <v>370</v>
      </c>
      <c r="I48" s="132">
        <f>VLOOKUP(H48,Dados!$B$2:$C$53,2,0)</f>
        <v>13</v>
      </c>
      <c r="J48" s="112">
        <f>VLOOKUP(H48,Dados!$B$2:$E$53,4,0)</f>
        <v>100</v>
      </c>
    </row>
    <row r="49" spans="1:10" ht="48" x14ac:dyDescent="0.2">
      <c r="A49" s="70" t="s">
        <v>58</v>
      </c>
      <c r="B49" s="71" t="s">
        <v>174</v>
      </c>
      <c r="C49" s="71" t="s">
        <v>84</v>
      </c>
      <c r="D49" s="72" t="s">
        <v>1168</v>
      </c>
      <c r="E49" s="70" t="s">
        <v>127</v>
      </c>
      <c r="F49" s="73" t="s">
        <v>381</v>
      </c>
      <c r="G49" s="88" t="s">
        <v>807</v>
      </c>
      <c r="H49" s="70" t="s">
        <v>370</v>
      </c>
      <c r="I49" s="132">
        <f>VLOOKUP(H49,Dados!$B$2:$C$53,2,0)</f>
        <v>13</v>
      </c>
      <c r="J49" s="112">
        <f>VLOOKUP(H49,Dados!$B$2:$E$53,4,0)</f>
        <v>100</v>
      </c>
    </row>
    <row r="50" spans="1:10" ht="24" x14ac:dyDescent="0.2">
      <c r="A50" s="70" t="s">
        <v>39</v>
      </c>
      <c r="B50" s="71" t="s">
        <v>291</v>
      </c>
      <c r="C50" s="71" t="s">
        <v>292</v>
      </c>
      <c r="D50" s="72" t="s">
        <v>293</v>
      </c>
      <c r="E50" s="70" t="s">
        <v>16</v>
      </c>
      <c r="F50" s="73" t="s">
        <v>381</v>
      </c>
      <c r="G50" s="88" t="s">
        <v>450</v>
      </c>
      <c r="H50" s="70" t="s">
        <v>362</v>
      </c>
      <c r="I50" s="132">
        <f>VLOOKUP(H50,Dados!$B$2:$C$53,2,0)</f>
        <v>1</v>
      </c>
      <c r="J50" s="112">
        <f>VLOOKUP(H50,Dados!$B$2:$E$53,4,0)</f>
        <v>5</v>
      </c>
    </row>
    <row r="51" spans="1:10" ht="36" x14ac:dyDescent="0.2">
      <c r="A51" s="70" t="s">
        <v>17</v>
      </c>
      <c r="B51" s="71" t="s">
        <v>345</v>
      </c>
      <c r="C51" s="71" t="s">
        <v>140</v>
      </c>
      <c r="D51" s="72" t="s">
        <v>346</v>
      </c>
      <c r="E51" s="70" t="s">
        <v>210</v>
      </c>
      <c r="F51" s="73" t="s">
        <v>381</v>
      </c>
      <c r="G51" s="88" t="s">
        <v>816</v>
      </c>
      <c r="H51" s="70" t="s">
        <v>362</v>
      </c>
      <c r="I51" s="132">
        <f>VLOOKUP(H51,Dados!$B$2:$C$53,2,0)</f>
        <v>1</v>
      </c>
      <c r="J51" s="112">
        <f>VLOOKUP(H51,Dados!$B$2:$E$53,4,0)</f>
        <v>5</v>
      </c>
    </row>
    <row r="52" spans="1:10" ht="60" x14ac:dyDescent="0.2">
      <c r="A52" s="70" t="s">
        <v>10</v>
      </c>
      <c r="B52" s="71" t="s">
        <v>354</v>
      </c>
      <c r="C52" s="71" t="s">
        <v>84</v>
      </c>
      <c r="D52" s="72" t="s">
        <v>355</v>
      </c>
      <c r="E52" s="70" t="s">
        <v>102</v>
      </c>
      <c r="F52" s="73" t="s">
        <v>381</v>
      </c>
      <c r="G52" s="88" t="s">
        <v>703</v>
      </c>
      <c r="H52" s="70" t="s">
        <v>370</v>
      </c>
      <c r="I52" s="132">
        <f>VLOOKUP(H52,Dados!$B$2:$C$53,2,0)</f>
        <v>13</v>
      </c>
      <c r="J52" s="112">
        <f>VLOOKUP(H52,Dados!$B$2:$E$53,4,0)</f>
        <v>100</v>
      </c>
    </row>
    <row r="53" spans="1:10" ht="84" x14ac:dyDescent="0.2">
      <c r="A53" s="70" t="s">
        <v>10</v>
      </c>
      <c r="B53" s="71" t="s">
        <v>462</v>
      </c>
      <c r="C53" s="71" t="s">
        <v>36</v>
      </c>
      <c r="D53" s="72" t="s">
        <v>37</v>
      </c>
      <c r="E53" s="70" t="s">
        <v>38</v>
      </c>
      <c r="F53" s="73" t="s">
        <v>382</v>
      </c>
      <c r="G53" s="88" t="s">
        <v>509</v>
      </c>
      <c r="H53" s="70" t="s">
        <v>370</v>
      </c>
      <c r="I53" s="132">
        <f>VLOOKUP(H53,Dados!$B$2:$C$53,2,0)</f>
        <v>13</v>
      </c>
      <c r="J53" s="112">
        <f>VLOOKUP(H53,Dados!$B$2:$E$53,4,0)</f>
        <v>100</v>
      </c>
    </row>
    <row r="54" spans="1:10" ht="60" x14ac:dyDescent="0.2">
      <c r="A54" s="70" t="s">
        <v>39</v>
      </c>
      <c r="B54" s="71" t="s">
        <v>74</v>
      </c>
      <c r="C54" s="71" t="s">
        <v>75</v>
      </c>
      <c r="D54" s="72" t="s">
        <v>76</v>
      </c>
      <c r="E54" s="70" t="s">
        <v>77</v>
      </c>
      <c r="F54" s="73" t="s">
        <v>382</v>
      </c>
      <c r="G54" s="88" t="s">
        <v>398</v>
      </c>
      <c r="H54" s="70" t="s">
        <v>370</v>
      </c>
      <c r="I54" s="133">
        <f>VLOOKUP(H54,Dados!$B$2:$C$53,2,0)</f>
        <v>13</v>
      </c>
      <c r="J54" s="112">
        <f>VLOOKUP(H54,Dados!$B$2:$E$53,4,0)</f>
        <v>100</v>
      </c>
    </row>
    <row r="55" spans="1:10" ht="48" x14ac:dyDescent="0.2">
      <c r="A55" s="70" t="s">
        <v>17</v>
      </c>
      <c r="B55" s="71" t="s">
        <v>108</v>
      </c>
      <c r="C55" s="71" t="s">
        <v>109</v>
      </c>
      <c r="D55" s="72" t="s">
        <v>451</v>
      </c>
      <c r="E55" s="70" t="s">
        <v>9</v>
      </c>
      <c r="F55" s="73" t="s">
        <v>382</v>
      </c>
      <c r="G55" s="88" t="s">
        <v>887</v>
      </c>
      <c r="H55" s="70" t="s">
        <v>370</v>
      </c>
      <c r="I55" s="132">
        <f>VLOOKUP(H55,Dados!$B$2:$C$53,2,0)</f>
        <v>13</v>
      </c>
      <c r="J55" s="112">
        <f>VLOOKUP(H55,Dados!$B$2:$E$53,4,0)</f>
        <v>100</v>
      </c>
    </row>
    <row r="56" spans="1:10" ht="36" x14ac:dyDescent="0.2">
      <c r="A56" s="70" t="s">
        <v>10</v>
      </c>
      <c r="B56" s="71" t="s">
        <v>187</v>
      </c>
      <c r="C56" s="71" t="s">
        <v>189</v>
      </c>
      <c r="D56" s="72"/>
      <c r="E56" s="70" t="s">
        <v>188</v>
      </c>
      <c r="F56" s="73" t="s">
        <v>382</v>
      </c>
      <c r="G56" s="88" t="s">
        <v>399</v>
      </c>
      <c r="H56" s="70" t="s">
        <v>370</v>
      </c>
      <c r="I56" s="132">
        <f>VLOOKUP(H56,Dados!$B$2:$C$53,2,0)</f>
        <v>13</v>
      </c>
      <c r="J56" s="112">
        <f>VLOOKUP(H56,Dados!$B$2:$E$53,4,0)</f>
        <v>100</v>
      </c>
    </row>
    <row r="57" spans="1:10" ht="84" x14ac:dyDescent="0.2">
      <c r="A57" s="70" t="s">
        <v>39</v>
      </c>
      <c r="B57" s="74" t="s">
        <v>254</v>
      </c>
      <c r="C57" s="71" t="s">
        <v>255</v>
      </c>
      <c r="D57" s="72" t="s">
        <v>256</v>
      </c>
      <c r="E57" s="70" t="s">
        <v>67</v>
      </c>
      <c r="F57" s="73" t="s">
        <v>382</v>
      </c>
      <c r="G57" s="88" t="s">
        <v>522</v>
      </c>
      <c r="H57" s="70" t="s">
        <v>370</v>
      </c>
      <c r="I57" s="133">
        <f>VLOOKUP(H57,Dados!$B$2:$C$53,2,0)</f>
        <v>13</v>
      </c>
      <c r="J57" s="112">
        <f>VLOOKUP(H57,Dados!$B$2:$E$53,4,0)</f>
        <v>100</v>
      </c>
    </row>
    <row r="58" spans="1:10" ht="84" x14ac:dyDescent="0.2">
      <c r="A58" s="70" t="s">
        <v>10</v>
      </c>
      <c r="B58" s="71" t="s">
        <v>241</v>
      </c>
      <c r="C58" s="71" t="s">
        <v>157</v>
      </c>
      <c r="D58" s="72" t="s">
        <v>242</v>
      </c>
      <c r="E58" s="70" t="s">
        <v>188</v>
      </c>
      <c r="F58" s="73" t="s">
        <v>382</v>
      </c>
      <c r="G58" s="88" t="s">
        <v>697</v>
      </c>
      <c r="H58" s="70" t="s">
        <v>366</v>
      </c>
      <c r="I58" s="132">
        <f>VLOOKUP(H58,Dados!$B$2:$C$53,2,0)</f>
        <v>7</v>
      </c>
      <c r="J58" s="112">
        <f>VLOOKUP(H58,Dados!$B$2:$E$53,4,0)</f>
        <v>50</v>
      </c>
    </row>
    <row r="59" spans="1:10" ht="72" x14ac:dyDescent="0.2">
      <c r="A59" s="70" t="s">
        <v>17</v>
      </c>
      <c r="B59" s="71" t="s">
        <v>303</v>
      </c>
      <c r="C59" s="71" t="s">
        <v>255</v>
      </c>
      <c r="D59" s="72" t="s">
        <v>452</v>
      </c>
      <c r="E59" s="70" t="s">
        <v>304</v>
      </c>
      <c r="F59" s="73" t="s">
        <v>416</v>
      </c>
      <c r="G59" s="88" t="s">
        <v>888</v>
      </c>
      <c r="H59" s="70" t="s">
        <v>370</v>
      </c>
      <c r="I59" s="132">
        <f>VLOOKUP(H59,Dados!$B$2:$C$53,2,0)</f>
        <v>13</v>
      </c>
      <c r="J59" s="112">
        <f>VLOOKUP(H59,Dados!$B$2:$E$53,4,0)</f>
        <v>100</v>
      </c>
    </row>
    <row r="60" spans="1:10" ht="72" x14ac:dyDescent="0.2">
      <c r="A60" s="70" t="s">
        <v>39</v>
      </c>
      <c r="B60" s="71" t="s">
        <v>309</v>
      </c>
      <c r="C60" s="71" t="s">
        <v>157</v>
      </c>
      <c r="D60" s="72" t="s">
        <v>310</v>
      </c>
      <c r="E60" s="70" t="s">
        <v>112</v>
      </c>
      <c r="F60" s="76" t="s">
        <v>416</v>
      </c>
      <c r="G60" s="88" t="s">
        <v>575</v>
      </c>
      <c r="H60" s="70" t="s">
        <v>370</v>
      </c>
      <c r="I60" s="132">
        <f>VLOOKUP(H60,Dados!$B$2:$C$53,2,0)</f>
        <v>13</v>
      </c>
      <c r="J60" s="112">
        <f>VLOOKUP(H60,Dados!$B$2:$E$53,4,0)</f>
        <v>100</v>
      </c>
    </row>
    <row r="61" spans="1:10" ht="72" x14ac:dyDescent="0.2">
      <c r="A61" s="70" t="s">
        <v>10</v>
      </c>
      <c r="B61" s="71" t="s">
        <v>325</v>
      </c>
      <c r="C61" s="71" t="s">
        <v>326</v>
      </c>
      <c r="D61" s="72" t="s">
        <v>327</v>
      </c>
      <c r="E61" s="70" t="s">
        <v>132</v>
      </c>
      <c r="F61" s="76" t="s">
        <v>382</v>
      </c>
      <c r="G61" s="88" t="s">
        <v>510</v>
      </c>
      <c r="H61" s="70" t="s">
        <v>370</v>
      </c>
      <c r="I61" s="132">
        <f>VLOOKUP(H61,Dados!$B$2:$C$53,2,0)</f>
        <v>13</v>
      </c>
      <c r="J61" s="112">
        <f>VLOOKUP(H61,Dados!$B$2:$E$53,4,0)</f>
        <v>100</v>
      </c>
    </row>
    <row r="62" spans="1:10" ht="48" x14ac:dyDescent="0.2">
      <c r="A62" s="70" t="s">
        <v>17</v>
      </c>
      <c r="B62" s="71" t="s">
        <v>14</v>
      </c>
      <c r="C62" s="71" t="s">
        <v>18</v>
      </c>
      <c r="D62" s="72" t="s">
        <v>1000</v>
      </c>
      <c r="E62" s="70" t="s">
        <v>16</v>
      </c>
      <c r="F62" s="76" t="s">
        <v>401</v>
      </c>
      <c r="G62" s="88" t="s">
        <v>403</v>
      </c>
      <c r="H62" s="70" t="s">
        <v>370</v>
      </c>
      <c r="I62" s="133">
        <f>VLOOKUP(H62,Dados!$B$2:$C$53,2,0)</f>
        <v>13</v>
      </c>
      <c r="J62" s="112">
        <f>VLOOKUP(H62,Dados!$B$2:$E$53,4,0)</f>
        <v>100</v>
      </c>
    </row>
    <row r="63" spans="1:10" ht="48" x14ac:dyDescent="0.2">
      <c r="A63" s="70" t="s">
        <v>22</v>
      </c>
      <c r="B63" s="71" t="s">
        <v>19</v>
      </c>
      <c r="C63" s="71" t="s">
        <v>20</v>
      </c>
      <c r="D63" s="72" t="s">
        <v>21</v>
      </c>
      <c r="E63" s="70" t="s">
        <v>16</v>
      </c>
      <c r="F63" s="76" t="s">
        <v>401</v>
      </c>
      <c r="G63" s="88" t="s">
        <v>404</v>
      </c>
      <c r="H63" s="70" t="s">
        <v>431</v>
      </c>
      <c r="I63" s="133">
        <f>VLOOKUP(H63,Dados!$B$2:$C$53,2,0)</f>
        <v>13</v>
      </c>
      <c r="J63" s="112">
        <f>VLOOKUP(H63,Dados!$B$2:$E$53,4,0)</f>
        <v>100</v>
      </c>
    </row>
    <row r="64" spans="1:10" ht="48" x14ac:dyDescent="0.2">
      <c r="A64" s="70" t="s">
        <v>17</v>
      </c>
      <c r="B64" s="71" t="s">
        <v>26</v>
      </c>
      <c r="C64" s="71" t="s">
        <v>27</v>
      </c>
      <c r="D64" s="72" t="s">
        <v>28</v>
      </c>
      <c r="E64" s="70" t="s">
        <v>16</v>
      </c>
      <c r="F64" s="76" t="s">
        <v>401</v>
      </c>
      <c r="G64" s="88" t="s">
        <v>405</v>
      </c>
      <c r="H64" s="70" t="s">
        <v>370</v>
      </c>
      <c r="I64" s="133">
        <f>VLOOKUP(H64,Dados!$B$2:$C$53,2,0)</f>
        <v>13</v>
      </c>
      <c r="J64" s="112">
        <f>VLOOKUP(H64,Dados!$B$2:$E$53,4,0)</f>
        <v>100</v>
      </c>
    </row>
    <row r="65" spans="1:10" ht="48" x14ac:dyDescent="0.2">
      <c r="A65" s="70" t="s">
        <v>10</v>
      </c>
      <c r="B65" s="71" t="s">
        <v>29</v>
      </c>
      <c r="C65" s="71" t="s">
        <v>30</v>
      </c>
      <c r="D65" s="72" t="s">
        <v>31</v>
      </c>
      <c r="E65" s="70" t="s">
        <v>32</v>
      </c>
      <c r="F65" s="76" t="s">
        <v>401</v>
      </c>
      <c r="G65" s="88" t="s">
        <v>406</v>
      </c>
      <c r="H65" s="70" t="s">
        <v>370</v>
      </c>
      <c r="I65" s="133">
        <f>VLOOKUP(H65,Dados!$B$2:$C$53,2,0)</f>
        <v>13</v>
      </c>
      <c r="J65" s="112">
        <f>VLOOKUP(H65,Dados!$B$2:$E$53,4,0)</f>
        <v>100</v>
      </c>
    </row>
    <row r="66" spans="1:10" ht="36" x14ac:dyDescent="0.2">
      <c r="A66" s="70" t="s">
        <v>10</v>
      </c>
      <c r="B66" s="71" t="s">
        <v>23</v>
      </c>
      <c r="C66" s="71" t="s">
        <v>24</v>
      </c>
      <c r="D66" s="72" t="s">
        <v>25</v>
      </c>
      <c r="E66" s="70" t="s">
        <v>16</v>
      </c>
      <c r="F66" s="76" t="s">
        <v>401</v>
      </c>
      <c r="G66" s="88" t="s">
        <v>642</v>
      </c>
      <c r="H66" s="70" t="s">
        <v>370</v>
      </c>
      <c r="I66" s="132">
        <f>VLOOKUP(H66,Dados!$B$2:$C$53,2,0)</f>
        <v>13</v>
      </c>
      <c r="J66" s="112">
        <f>VLOOKUP(H66,Dados!$B$2:$E$53,4,0)</f>
        <v>100</v>
      </c>
    </row>
    <row r="67" spans="1:10" ht="36" x14ac:dyDescent="0.2">
      <c r="A67" s="70" t="s">
        <v>17</v>
      </c>
      <c r="B67" s="74" t="s">
        <v>33</v>
      </c>
      <c r="C67" s="71" t="s">
        <v>34</v>
      </c>
      <c r="D67" s="72" t="s">
        <v>35</v>
      </c>
      <c r="E67" s="70" t="s">
        <v>16</v>
      </c>
      <c r="F67" s="76" t="s">
        <v>401</v>
      </c>
      <c r="G67" s="88" t="s">
        <v>407</v>
      </c>
      <c r="H67" s="70" t="s">
        <v>370</v>
      </c>
      <c r="I67" s="133">
        <f>VLOOKUP(H67,Dados!$B$2:$C$53,2,0)</f>
        <v>13</v>
      </c>
      <c r="J67" s="112">
        <f>VLOOKUP(H67,Dados!$B$2:$E$53,4,0)</f>
        <v>100</v>
      </c>
    </row>
    <row r="68" spans="1:10" ht="36" x14ac:dyDescent="0.2">
      <c r="A68" s="70" t="s">
        <v>10</v>
      </c>
      <c r="B68" s="71" t="s">
        <v>40</v>
      </c>
      <c r="C68" s="71" t="s">
        <v>41</v>
      </c>
      <c r="D68" s="72" t="s">
        <v>42</v>
      </c>
      <c r="E68" s="70" t="s">
        <v>43</v>
      </c>
      <c r="F68" s="76" t="s">
        <v>401</v>
      </c>
      <c r="G68" s="88" t="s">
        <v>408</v>
      </c>
      <c r="H68" s="70" t="s">
        <v>370</v>
      </c>
      <c r="I68" s="133">
        <f>VLOOKUP(H68,Dados!$B$2:$C$53,2,0)</f>
        <v>13</v>
      </c>
      <c r="J68" s="112">
        <f>VLOOKUP(H68,Dados!$B$2:$E$53,4,0)</f>
        <v>100</v>
      </c>
    </row>
    <row r="69" spans="1:10" ht="36" x14ac:dyDescent="0.2">
      <c r="A69" s="70" t="s">
        <v>39</v>
      </c>
      <c r="B69" s="71" t="s">
        <v>50</v>
      </c>
      <c r="C69" s="71" t="s">
        <v>51</v>
      </c>
      <c r="D69" s="72" t="s">
        <v>52</v>
      </c>
      <c r="E69" s="70" t="s">
        <v>53</v>
      </c>
      <c r="F69" s="76" t="s">
        <v>401</v>
      </c>
      <c r="G69" s="88" t="s">
        <v>409</v>
      </c>
      <c r="H69" s="70" t="s">
        <v>370</v>
      </c>
      <c r="I69" s="132">
        <f>VLOOKUP(H69,Dados!$B$2:$C$53,2,0)</f>
        <v>13</v>
      </c>
      <c r="J69" s="112">
        <f>VLOOKUP(H69,Dados!$B$2:$E$53,4,0)</f>
        <v>100</v>
      </c>
    </row>
    <row r="70" spans="1:10" ht="48" x14ac:dyDescent="0.2">
      <c r="A70" s="70" t="s">
        <v>10</v>
      </c>
      <c r="B70" s="71" t="s">
        <v>92</v>
      </c>
      <c r="C70" s="71" t="s">
        <v>93</v>
      </c>
      <c r="D70" s="72" t="s">
        <v>94</v>
      </c>
      <c r="E70" s="70" t="s">
        <v>16</v>
      </c>
      <c r="F70" s="76" t="s">
        <v>401</v>
      </c>
      <c r="G70" s="88" t="s">
        <v>410</v>
      </c>
      <c r="H70" s="70" t="s">
        <v>370</v>
      </c>
      <c r="I70" s="133">
        <f>VLOOKUP(H70,Dados!$B$2:$C$53,2,0)</f>
        <v>13</v>
      </c>
      <c r="J70" s="112">
        <f>VLOOKUP(H70,Dados!$B$2:$E$53,4,0)</f>
        <v>100</v>
      </c>
    </row>
    <row r="71" spans="1:10" ht="36" x14ac:dyDescent="0.2">
      <c r="A71" s="70" t="s">
        <v>39</v>
      </c>
      <c r="B71" s="71" t="s">
        <v>99</v>
      </c>
      <c r="C71" s="71" t="s">
        <v>100</v>
      </c>
      <c r="D71" s="72" t="s">
        <v>101</v>
      </c>
      <c r="E71" s="70" t="s">
        <v>102</v>
      </c>
      <c r="F71" s="76" t="s">
        <v>401</v>
      </c>
      <c r="G71" s="88" t="s">
        <v>411</v>
      </c>
      <c r="H71" s="70" t="s">
        <v>370</v>
      </c>
      <c r="I71" s="133">
        <f>VLOOKUP(H71,Dados!$B$2:$C$53,2,0)</f>
        <v>13</v>
      </c>
      <c r="J71" s="112">
        <f>VLOOKUP(H71,Dados!$B$2:$E$53,4,0)</f>
        <v>100</v>
      </c>
    </row>
    <row r="72" spans="1:10" ht="60" x14ac:dyDescent="0.2">
      <c r="A72" s="70" t="s">
        <v>58</v>
      </c>
      <c r="B72" s="71" t="s">
        <v>152</v>
      </c>
      <c r="C72" s="71" t="s">
        <v>153</v>
      </c>
      <c r="D72" s="72" t="s">
        <v>154</v>
      </c>
      <c r="E72" s="70" t="s">
        <v>155</v>
      </c>
      <c r="F72" s="76" t="s">
        <v>401</v>
      </c>
      <c r="G72" s="88" t="s">
        <v>669</v>
      </c>
      <c r="H72" s="70" t="s">
        <v>370</v>
      </c>
      <c r="I72" s="132">
        <f>VLOOKUP(H72,Dados!$B$2:$C$53,2,0)</f>
        <v>13</v>
      </c>
      <c r="J72" s="112">
        <f>VLOOKUP(H72,Dados!$B$2:$E$53,4,0)</f>
        <v>100</v>
      </c>
    </row>
    <row r="73" spans="1:10" ht="24" x14ac:dyDescent="0.2">
      <c r="A73" s="70" t="s">
        <v>10</v>
      </c>
      <c r="B73" s="71" t="s">
        <v>29</v>
      </c>
      <c r="C73" s="71" t="s">
        <v>30</v>
      </c>
      <c r="D73" s="72" t="s">
        <v>31</v>
      </c>
      <c r="E73" s="70" t="s">
        <v>32</v>
      </c>
      <c r="F73" s="76" t="s">
        <v>401</v>
      </c>
      <c r="G73" s="88" t="s">
        <v>400</v>
      </c>
      <c r="H73" s="70" t="s">
        <v>370</v>
      </c>
      <c r="I73" s="133">
        <f>VLOOKUP(H73,Dados!$B$2:$C$53,2,0)</f>
        <v>13</v>
      </c>
      <c r="J73" s="112">
        <f>VLOOKUP(H73,Dados!$B$2:$E$53,4,0)</f>
        <v>100</v>
      </c>
    </row>
    <row r="74" spans="1:10" ht="36" x14ac:dyDescent="0.2">
      <c r="A74" s="70" t="s">
        <v>10</v>
      </c>
      <c r="B74" s="71" t="s">
        <v>177</v>
      </c>
      <c r="C74" s="75" t="s">
        <v>84</v>
      </c>
      <c r="D74" s="72" t="s">
        <v>178</v>
      </c>
      <c r="E74" s="70" t="s">
        <v>179</v>
      </c>
      <c r="F74" s="76" t="s">
        <v>401</v>
      </c>
      <c r="G74" s="88" t="s">
        <v>435</v>
      </c>
      <c r="H74" s="70" t="s">
        <v>370</v>
      </c>
      <c r="I74" s="133">
        <f>VLOOKUP(H74,Dados!$B$2:$C$53,2,0)</f>
        <v>13</v>
      </c>
      <c r="J74" s="112">
        <f>VLOOKUP(H74,Dados!$B$2:$E$53,4,0)</f>
        <v>100</v>
      </c>
    </row>
    <row r="75" spans="1:10" ht="36" x14ac:dyDescent="0.2">
      <c r="A75" s="70" t="s">
        <v>39</v>
      </c>
      <c r="B75" s="71" t="s">
        <v>216</v>
      </c>
      <c r="C75" s="71" t="s">
        <v>217</v>
      </c>
      <c r="D75" s="72" t="s">
        <v>218</v>
      </c>
      <c r="E75" s="70" t="s">
        <v>122</v>
      </c>
      <c r="F75" s="76" t="s">
        <v>401</v>
      </c>
      <c r="G75" s="88" t="s">
        <v>412</v>
      </c>
      <c r="H75" s="70" t="s">
        <v>370</v>
      </c>
      <c r="I75" s="133">
        <f>VLOOKUP(H75,Dados!$B$2:$C$53,2,0)</f>
        <v>13</v>
      </c>
      <c r="J75" s="112">
        <f>VLOOKUP(H75,Dados!$B$2:$E$53,4,0)</f>
        <v>100</v>
      </c>
    </row>
    <row r="76" spans="1:10" ht="48" x14ac:dyDescent="0.2">
      <c r="A76" s="70" t="s">
        <v>58</v>
      </c>
      <c r="B76" s="71" t="s">
        <v>243</v>
      </c>
      <c r="C76" s="71" t="s">
        <v>429</v>
      </c>
      <c r="D76" s="72" t="s">
        <v>244</v>
      </c>
      <c r="E76" s="70" t="s">
        <v>16</v>
      </c>
      <c r="F76" s="76" t="s">
        <v>401</v>
      </c>
      <c r="G76" s="88" t="s">
        <v>430</v>
      </c>
      <c r="H76" s="70" t="s">
        <v>370</v>
      </c>
      <c r="I76" s="132">
        <f>VLOOKUP(H76,Dados!$B$2:$C$53,2,0)</f>
        <v>13</v>
      </c>
      <c r="J76" s="112">
        <f>VLOOKUP(H76,Dados!$B$2:$E$53,4,0)</f>
        <v>100</v>
      </c>
    </row>
    <row r="77" spans="1:10" ht="36" x14ac:dyDescent="0.2">
      <c r="A77" s="70" t="s">
        <v>17</v>
      </c>
      <c r="B77" s="71" t="s">
        <v>253</v>
      </c>
      <c r="C77" s="71" t="s">
        <v>217</v>
      </c>
      <c r="D77" s="72" t="s">
        <v>52</v>
      </c>
      <c r="E77" s="70" t="s">
        <v>53</v>
      </c>
      <c r="F77" s="76" t="s">
        <v>401</v>
      </c>
      <c r="G77" s="88" t="s">
        <v>889</v>
      </c>
      <c r="H77" s="70" t="s">
        <v>370</v>
      </c>
      <c r="I77" s="133">
        <f>VLOOKUP(H77,Dados!$B$2:$C$53,2,0)</f>
        <v>13</v>
      </c>
      <c r="J77" s="112">
        <f>VLOOKUP(H77,Dados!$B$2:$E$53,4,0)</f>
        <v>100</v>
      </c>
    </row>
    <row r="78" spans="1:10" ht="36" x14ac:dyDescent="0.2">
      <c r="A78" s="70" t="s">
        <v>10</v>
      </c>
      <c r="B78" s="71" t="s">
        <v>274</v>
      </c>
      <c r="C78" s="71" t="s">
        <v>153</v>
      </c>
      <c r="D78" s="72" t="s">
        <v>275</v>
      </c>
      <c r="E78" s="70" t="s">
        <v>188</v>
      </c>
      <c r="F78" s="76" t="s">
        <v>401</v>
      </c>
      <c r="G78" s="88" t="s">
        <v>574</v>
      </c>
      <c r="H78" s="70" t="s">
        <v>370</v>
      </c>
      <c r="I78" s="132">
        <f>VLOOKUP(H78,Dados!$B$2:$C$53,2,0)</f>
        <v>13</v>
      </c>
      <c r="J78" s="112">
        <f>VLOOKUP(H78,Dados!$B$2:$E$53,4,0)</f>
        <v>100</v>
      </c>
    </row>
    <row r="79" spans="1:10" ht="24" x14ac:dyDescent="0.2">
      <c r="A79" s="77" t="s">
        <v>22</v>
      </c>
      <c r="B79" s="71" t="s">
        <v>45</v>
      </c>
      <c r="C79" s="71" t="s">
        <v>46</v>
      </c>
      <c r="D79" s="78" t="s">
        <v>44</v>
      </c>
      <c r="E79" s="77" t="s">
        <v>32</v>
      </c>
      <c r="F79" s="76" t="s">
        <v>402</v>
      </c>
      <c r="G79" s="89" t="s">
        <v>417</v>
      </c>
      <c r="H79" s="70" t="s">
        <v>370</v>
      </c>
      <c r="I79" s="133">
        <f>VLOOKUP(H79,Dados!$B$2:$C$53,2,0)</f>
        <v>13</v>
      </c>
      <c r="J79" s="112">
        <f>VLOOKUP(H79,Dados!$B$2:$E$53,4,0)</f>
        <v>100</v>
      </c>
    </row>
    <row r="80" spans="1:10" ht="24" x14ac:dyDescent="0.2">
      <c r="A80" s="77" t="s">
        <v>22</v>
      </c>
      <c r="B80" s="71" t="s">
        <v>88</v>
      </c>
      <c r="C80" s="71" t="s">
        <v>89</v>
      </c>
      <c r="D80" s="78" t="s">
        <v>90</v>
      </c>
      <c r="E80" s="77" t="s">
        <v>91</v>
      </c>
      <c r="F80" s="76" t="s">
        <v>402</v>
      </c>
      <c r="G80" s="88" t="s">
        <v>425</v>
      </c>
      <c r="H80" s="70" t="s">
        <v>370</v>
      </c>
      <c r="I80" s="133">
        <f>VLOOKUP(H80,Dados!$B$2:$C$53,2,0)</f>
        <v>13</v>
      </c>
      <c r="J80" s="112">
        <f>VLOOKUP(H80,Dados!$B$2:$E$53,4,0)</f>
        <v>100</v>
      </c>
    </row>
    <row r="81" spans="1:10" ht="36" x14ac:dyDescent="0.2">
      <c r="A81" s="77" t="s">
        <v>22</v>
      </c>
      <c r="B81" s="71" t="s">
        <v>283</v>
      </c>
      <c r="C81" s="71" t="s">
        <v>284</v>
      </c>
      <c r="D81" s="78" t="s">
        <v>285</v>
      </c>
      <c r="E81" s="77" t="s">
        <v>91</v>
      </c>
      <c r="F81" s="76" t="s">
        <v>402</v>
      </c>
      <c r="G81" s="89" t="s">
        <v>418</v>
      </c>
      <c r="H81" s="70" t="s">
        <v>370</v>
      </c>
      <c r="I81" s="133">
        <f>VLOOKUP(H81,Dados!$B$2:$C$53,2,0)</f>
        <v>13</v>
      </c>
      <c r="J81" s="112">
        <f>VLOOKUP(H81,Dados!$B$2:$E$53,4,0)</f>
        <v>100</v>
      </c>
    </row>
    <row r="82" spans="1:10" ht="24" x14ac:dyDescent="0.2">
      <c r="A82" s="77" t="s">
        <v>22</v>
      </c>
      <c r="B82" s="71" t="s">
        <v>286</v>
      </c>
      <c r="C82" s="71" t="s">
        <v>55</v>
      </c>
      <c r="D82" s="78" t="s">
        <v>287</v>
      </c>
      <c r="E82" s="77" t="s">
        <v>16</v>
      </c>
      <c r="F82" s="76" t="s">
        <v>402</v>
      </c>
      <c r="G82" s="88" t="s">
        <v>426</v>
      </c>
      <c r="H82" s="70" t="s">
        <v>370</v>
      </c>
      <c r="I82" s="132">
        <f>VLOOKUP(H82,Dados!$B$2:$C$53,2,0)</f>
        <v>13</v>
      </c>
      <c r="J82" s="112">
        <f>VLOOKUP(H82,Dados!$B$2:$E$53,4,0)</f>
        <v>100</v>
      </c>
    </row>
    <row r="83" spans="1:10" ht="24" x14ac:dyDescent="0.2">
      <c r="A83" s="77" t="s">
        <v>22</v>
      </c>
      <c r="B83" s="71" t="s">
        <v>315</v>
      </c>
      <c r="C83" s="71" t="s">
        <v>317</v>
      </c>
      <c r="D83" s="78" t="s">
        <v>316</v>
      </c>
      <c r="E83" s="70" t="s">
        <v>210</v>
      </c>
      <c r="F83" s="76" t="s">
        <v>402</v>
      </c>
      <c r="G83" s="89" t="s">
        <v>419</v>
      </c>
      <c r="H83" s="70" t="s">
        <v>370</v>
      </c>
      <c r="I83" s="133">
        <f>VLOOKUP(H83,Dados!$B$2:$C$53,2,0)</f>
        <v>13</v>
      </c>
      <c r="J83" s="112">
        <f>VLOOKUP(H83,Dados!$B$2:$E$53,4,0)</f>
        <v>100</v>
      </c>
    </row>
    <row r="84" spans="1:10" ht="24" x14ac:dyDescent="0.2">
      <c r="A84" s="77" t="s">
        <v>22</v>
      </c>
      <c r="B84" s="71" t="s">
        <v>318</v>
      </c>
      <c r="C84" s="71" t="s">
        <v>319</v>
      </c>
      <c r="D84" s="78" t="s">
        <v>320</v>
      </c>
      <c r="E84" s="77" t="s">
        <v>86</v>
      </c>
      <c r="F84" s="76" t="s">
        <v>402</v>
      </c>
      <c r="G84" s="89" t="s">
        <v>419</v>
      </c>
      <c r="H84" s="70" t="s">
        <v>370</v>
      </c>
      <c r="I84" s="133">
        <f>VLOOKUP(H84,Dados!$B$2:$C$53,2,0)</f>
        <v>13</v>
      </c>
      <c r="J84" s="112">
        <f>VLOOKUP(H84,Dados!$B$2:$E$53,4,0)</f>
        <v>100</v>
      </c>
    </row>
    <row r="85" spans="1:10" ht="36" x14ac:dyDescent="0.2">
      <c r="A85" s="77" t="s">
        <v>22</v>
      </c>
      <c r="B85" s="71" t="s">
        <v>321</v>
      </c>
      <c r="C85" s="71" t="s">
        <v>284</v>
      </c>
      <c r="D85" s="78" t="s">
        <v>322</v>
      </c>
      <c r="E85" s="77" t="s">
        <v>91</v>
      </c>
      <c r="F85" s="76" t="s">
        <v>402</v>
      </c>
      <c r="G85" s="89" t="s">
        <v>419</v>
      </c>
      <c r="H85" s="70" t="s">
        <v>370</v>
      </c>
      <c r="I85" s="133">
        <f>VLOOKUP(H85,Dados!$B$2:$C$53,2,0)</f>
        <v>13</v>
      </c>
      <c r="J85" s="112">
        <f>VLOOKUP(H85,Dados!$B$2:$E$53,4,0)</f>
        <v>100</v>
      </c>
    </row>
    <row r="86" spans="1:10" ht="24" x14ac:dyDescent="0.2">
      <c r="A86" s="77" t="s">
        <v>22</v>
      </c>
      <c r="B86" s="71" t="s">
        <v>323</v>
      </c>
      <c r="C86" s="71" t="s">
        <v>324</v>
      </c>
      <c r="D86" s="78" t="s">
        <v>432</v>
      </c>
      <c r="E86" s="77" t="s">
        <v>38</v>
      </c>
      <c r="F86" s="76" t="s">
        <v>402</v>
      </c>
      <c r="G86" s="89" t="s">
        <v>419</v>
      </c>
      <c r="H86" s="70" t="s">
        <v>370</v>
      </c>
      <c r="I86" s="132">
        <f>VLOOKUP(H86,Dados!$B$2:$C$53,2,0)</f>
        <v>13</v>
      </c>
      <c r="J86" s="112">
        <f>VLOOKUP(H86,Dados!$B$2:$E$53,4,0)</f>
        <v>100</v>
      </c>
    </row>
    <row r="87" spans="1:10" ht="24" x14ac:dyDescent="0.2">
      <c r="A87" s="77" t="s">
        <v>22</v>
      </c>
      <c r="B87" s="71" t="s">
        <v>334</v>
      </c>
      <c r="C87" s="71" t="s">
        <v>335</v>
      </c>
      <c r="D87" s="78" t="s">
        <v>90</v>
      </c>
      <c r="E87" s="77" t="s">
        <v>91</v>
      </c>
      <c r="F87" s="76" t="s">
        <v>402</v>
      </c>
      <c r="G87" s="89" t="s">
        <v>420</v>
      </c>
      <c r="H87" s="70" t="s">
        <v>370</v>
      </c>
      <c r="I87" s="132">
        <f>VLOOKUP(H87,Dados!$B$2:$C$53,2,0)</f>
        <v>13</v>
      </c>
      <c r="J87" s="112">
        <f>VLOOKUP(H87,Dados!$B$2:$E$53,4,0)</f>
        <v>100</v>
      </c>
    </row>
    <row r="88" spans="1:10" ht="24" x14ac:dyDescent="0.2">
      <c r="A88" s="77" t="s">
        <v>22</v>
      </c>
      <c r="B88" s="71" t="s">
        <v>336</v>
      </c>
      <c r="C88" s="71" t="s">
        <v>337</v>
      </c>
      <c r="D88" s="78" t="s">
        <v>338</v>
      </c>
      <c r="E88" s="77" t="s">
        <v>72</v>
      </c>
      <c r="F88" s="76" t="s">
        <v>402</v>
      </c>
      <c r="G88" s="89" t="s">
        <v>421</v>
      </c>
      <c r="H88" s="70" t="s">
        <v>370</v>
      </c>
      <c r="I88" s="132">
        <f>VLOOKUP(H88,Dados!$B$2:$C$53,2,0)</f>
        <v>13</v>
      </c>
      <c r="J88" s="112">
        <f>VLOOKUP(H88,Dados!$B$2:$E$53,4,0)</f>
        <v>100</v>
      </c>
    </row>
    <row r="89" spans="1:10" ht="24" x14ac:dyDescent="0.2">
      <c r="A89" s="77" t="s">
        <v>22</v>
      </c>
      <c r="B89" s="71" t="s">
        <v>339</v>
      </c>
      <c r="C89" s="71" t="s">
        <v>340</v>
      </c>
      <c r="D89" s="78" t="s">
        <v>341</v>
      </c>
      <c r="E89" s="77" t="s">
        <v>179</v>
      </c>
      <c r="F89" s="76" t="s">
        <v>402</v>
      </c>
      <c r="G89" s="89" t="s">
        <v>421</v>
      </c>
      <c r="H89" s="70" t="s">
        <v>370</v>
      </c>
      <c r="I89" s="132">
        <f>VLOOKUP(H89,Dados!$B$2:$C$53,2,0)</f>
        <v>13</v>
      </c>
      <c r="J89" s="112">
        <f>VLOOKUP(H89,Dados!$B$2:$E$53,4,0)</f>
        <v>100</v>
      </c>
    </row>
    <row r="90" spans="1:10" ht="48" x14ac:dyDescent="0.2">
      <c r="A90" s="77" t="s">
        <v>22</v>
      </c>
      <c r="B90" s="71" t="s">
        <v>245</v>
      </c>
      <c r="C90" s="71" t="s">
        <v>246</v>
      </c>
      <c r="D90" s="78" t="s">
        <v>90</v>
      </c>
      <c r="E90" s="77" t="s">
        <v>91</v>
      </c>
      <c r="F90" s="76" t="s">
        <v>402</v>
      </c>
      <c r="G90" s="89" t="s">
        <v>422</v>
      </c>
      <c r="H90" s="70" t="s">
        <v>370</v>
      </c>
      <c r="I90" s="132">
        <f>VLOOKUP(H90,Dados!$B$2:$C$53,2,0)</f>
        <v>13</v>
      </c>
      <c r="J90" s="112">
        <f>VLOOKUP(H90,Dados!$B$2:$E$53,4,0)</f>
        <v>100</v>
      </c>
    </row>
    <row r="91" spans="1:10" ht="24" x14ac:dyDescent="0.2">
      <c r="A91" s="77" t="s">
        <v>22</v>
      </c>
      <c r="B91" s="71" t="s">
        <v>342</v>
      </c>
      <c r="C91" s="71" t="s">
        <v>343</v>
      </c>
      <c r="D91" s="78" t="s">
        <v>344</v>
      </c>
      <c r="E91" s="77" t="s">
        <v>77</v>
      </c>
      <c r="F91" s="76" t="s">
        <v>402</v>
      </c>
      <c r="G91" s="88" t="s">
        <v>427</v>
      </c>
      <c r="H91" s="70" t="s">
        <v>370</v>
      </c>
      <c r="I91" s="132">
        <f>VLOOKUP(H91,Dados!$B$2:$C$53,2,0)</f>
        <v>13</v>
      </c>
      <c r="J91" s="112">
        <f>VLOOKUP(H91,Dados!$B$2:$E$53,4,0)</f>
        <v>100</v>
      </c>
    </row>
    <row r="92" spans="1:10" ht="24" x14ac:dyDescent="0.2">
      <c r="A92" s="77" t="s">
        <v>22</v>
      </c>
      <c r="B92" s="71" t="s">
        <v>282</v>
      </c>
      <c r="C92" s="71" t="s">
        <v>281</v>
      </c>
      <c r="D92" s="78" t="s">
        <v>1167</v>
      </c>
      <c r="E92" s="77" t="s">
        <v>127</v>
      </c>
      <c r="F92" s="76" t="s">
        <v>402</v>
      </c>
      <c r="G92" s="89" t="s">
        <v>423</v>
      </c>
      <c r="H92" s="70" t="s">
        <v>370</v>
      </c>
      <c r="I92" s="132">
        <f>VLOOKUP(H92,Dados!$B$2:$C$53,2,0)</f>
        <v>13</v>
      </c>
      <c r="J92" s="112">
        <f>VLOOKUP(H92,Dados!$B$2:$E$53,4,0)</f>
        <v>100</v>
      </c>
    </row>
    <row r="93" spans="1:10" ht="24" x14ac:dyDescent="0.2">
      <c r="A93" s="77" t="s">
        <v>22</v>
      </c>
      <c r="B93" s="71" t="s">
        <v>413</v>
      </c>
      <c r="C93" s="71" t="s">
        <v>414</v>
      </c>
      <c r="D93" s="78" t="s">
        <v>415</v>
      </c>
      <c r="E93" s="77" t="s">
        <v>102</v>
      </c>
      <c r="F93" s="76" t="s">
        <v>402</v>
      </c>
      <c r="G93" s="89" t="s">
        <v>424</v>
      </c>
      <c r="H93" s="70" t="s">
        <v>370</v>
      </c>
      <c r="I93" s="132">
        <f>VLOOKUP(H93,Dados!$B$2:$C$53,2,0)</f>
        <v>13</v>
      </c>
      <c r="J93" s="112">
        <f>VLOOKUP(H93,Dados!$B$2:$E$53,4,0)</f>
        <v>100</v>
      </c>
    </row>
    <row r="94" spans="1:10" ht="72" x14ac:dyDescent="0.2">
      <c r="A94" s="77" t="s">
        <v>58</v>
      </c>
      <c r="B94" s="71" t="s">
        <v>110</v>
      </c>
      <c r="C94" s="71" t="s">
        <v>84</v>
      </c>
      <c r="D94" s="72" t="s">
        <v>1002</v>
      </c>
      <c r="E94" s="77" t="s">
        <v>112</v>
      </c>
      <c r="F94" s="79" t="s">
        <v>381</v>
      </c>
      <c r="G94" s="88" t="s">
        <v>1052</v>
      </c>
      <c r="H94" s="70" t="s">
        <v>370</v>
      </c>
      <c r="I94" s="132">
        <f>VLOOKUP(H94,Dados!$B$2:$C$53,2,0)</f>
        <v>13</v>
      </c>
      <c r="J94" s="112">
        <f>VLOOKUP(H94,Dados!$B$2:$E$53,4,0)</f>
        <v>100</v>
      </c>
    </row>
    <row r="95" spans="1:10" ht="84" x14ac:dyDescent="0.2">
      <c r="A95" s="77" t="s">
        <v>39</v>
      </c>
      <c r="B95" s="71" t="s">
        <v>7</v>
      </c>
      <c r="C95" s="71" t="s">
        <v>140</v>
      </c>
      <c r="D95" s="78" t="s">
        <v>471</v>
      </c>
      <c r="E95" s="77" t="s">
        <v>8</v>
      </c>
      <c r="F95" s="79" t="s">
        <v>382</v>
      </c>
      <c r="G95" s="88" t="s">
        <v>628</v>
      </c>
      <c r="H95" s="70" t="s">
        <v>370</v>
      </c>
      <c r="I95" s="132">
        <f>VLOOKUP(H95,Dados!$B$2:$C$53,2,0)</f>
        <v>13</v>
      </c>
      <c r="J95" s="112">
        <f>VLOOKUP(H95,Dados!$B$2:$E$53,4,0)</f>
        <v>100</v>
      </c>
    </row>
    <row r="96" spans="1:10" ht="120" x14ac:dyDescent="0.2">
      <c r="A96" s="77" t="s">
        <v>39</v>
      </c>
      <c r="B96" s="71" t="s">
        <v>99</v>
      </c>
      <c r="C96" s="71" t="s">
        <v>140</v>
      </c>
      <c r="D96" s="78" t="s">
        <v>472</v>
      </c>
      <c r="E96" s="77" t="s">
        <v>102</v>
      </c>
      <c r="F96" s="79" t="s">
        <v>382</v>
      </c>
      <c r="G96" s="88" t="s">
        <v>748</v>
      </c>
      <c r="H96" s="70" t="s">
        <v>370</v>
      </c>
      <c r="I96" s="132">
        <f>VLOOKUP(H96,Dados!$B$2:$C$53,2,0)</f>
        <v>13</v>
      </c>
      <c r="J96" s="112">
        <f>VLOOKUP(H96,Dados!$B$2:$E$53,4,0)</f>
        <v>100</v>
      </c>
    </row>
    <row r="97" spans="1:10" ht="96" x14ac:dyDescent="0.2">
      <c r="A97" s="77" t="s">
        <v>39</v>
      </c>
      <c r="B97" s="71" t="s">
        <v>99</v>
      </c>
      <c r="C97" s="71" t="s">
        <v>157</v>
      </c>
      <c r="D97" s="78" t="s">
        <v>310</v>
      </c>
      <c r="E97" s="77" t="s">
        <v>112</v>
      </c>
      <c r="F97" s="79" t="s">
        <v>382</v>
      </c>
      <c r="G97" s="88" t="s">
        <v>739</v>
      </c>
      <c r="H97" s="70" t="s">
        <v>387</v>
      </c>
      <c r="I97" s="132">
        <f>VLOOKUP(H97,Dados!$B$2:$C$53,2,0)</f>
        <v>10</v>
      </c>
      <c r="J97" s="112">
        <f>VLOOKUP(H97,Dados!$B$2:$E$53,4,0)</f>
        <v>80</v>
      </c>
    </row>
    <row r="98" spans="1:10" ht="84" x14ac:dyDescent="0.2">
      <c r="A98" s="70" t="s">
        <v>58</v>
      </c>
      <c r="B98" s="70" t="s">
        <v>473</v>
      </c>
      <c r="C98" s="70" t="s">
        <v>140</v>
      </c>
      <c r="D98" s="72" t="s">
        <v>1084</v>
      </c>
      <c r="E98" s="71" t="s">
        <v>127</v>
      </c>
      <c r="F98" s="79" t="s">
        <v>382</v>
      </c>
      <c r="G98" s="87" t="s">
        <v>1085</v>
      </c>
      <c r="H98" s="70" t="s">
        <v>369</v>
      </c>
      <c r="I98" s="132">
        <f>VLOOKUP(H98,Dados!$B$2:$C$53,2,0)</f>
        <v>12</v>
      </c>
      <c r="J98" s="112">
        <f>VLOOKUP(H98,Dados!$B$2:$E$53,4,0)</f>
        <v>95</v>
      </c>
    </row>
    <row r="99" spans="1:10" ht="120" x14ac:dyDescent="0.2">
      <c r="A99" s="70" t="s">
        <v>58</v>
      </c>
      <c r="B99" s="70" t="s">
        <v>241</v>
      </c>
      <c r="C99" s="70" t="s">
        <v>140</v>
      </c>
      <c r="D99" s="72" t="s">
        <v>242</v>
      </c>
      <c r="E99" s="71" t="s">
        <v>188</v>
      </c>
      <c r="F99" s="79" t="s">
        <v>382</v>
      </c>
      <c r="G99" s="87" t="s">
        <v>1093</v>
      </c>
      <c r="H99" s="70" t="s">
        <v>370</v>
      </c>
      <c r="I99" s="132">
        <f>VLOOKUP(H99,Dados!$B$2:$C$53,2,0)</f>
        <v>13</v>
      </c>
      <c r="J99" s="112">
        <f>VLOOKUP(H99,Dados!$B$2:$E$53,4,0)</f>
        <v>100</v>
      </c>
    </row>
    <row r="100" spans="1:10" ht="108" x14ac:dyDescent="0.2">
      <c r="A100" s="70" t="s">
        <v>17</v>
      </c>
      <c r="B100" s="70" t="s">
        <v>474</v>
      </c>
      <c r="C100" s="70" t="s">
        <v>140</v>
      </c>
      <c r="D100" s="72" t="s">
        <v>346</v>
      </c>
      <c r="E100" s="71" t="s">
        <v>210</v>
      </c>
      <c r="F100" s="79" t="s">
        <v>382</v>
      </c>
      <c r="G100" s="87" t="s">
        <v>983</v>
      </c>
      <c r="H100" s="70" t="s">
        <v>370</v>
      </c>
      <c r="I100" s="132">
        <f>VLOOKUP(H100,Dados!$B$2:$C$53,2,0)</f>
        <v>13</v>
      </c>
      <c r="J100" s="112">
        <f>VLOOKUP(H100,Dados!$B$2:$E$53,4,0)</f>
        <v>100</v>
      </c>
    </row>
    <row r="101" spans="1:10" ht="144" x14ac:dyDescent="0.2">
      <c r="A101" s="70" t="s">
        <v>17</v>
      </c>
      <c r="B101" s="70" t="s">
        <v>309</v>
      </c>
      <c r="C101" s="70" t="s">
        <v>140</v>
      </c>
      <c r="D101" s="72" t="s">
        <v>475</v>
      </c>
      <c r="E101" s="71" t="s">
        <v>112</v>
      </c>
      <c r="F101" s="76" t="s">
        <v>382</v>
      </c>
      <c r="G101" s="87" t="s">
        <v>1225</v>
      </c>
      <c r="H101" s="70" t="s">
        <v>370</v>
      </c>
      <c r="I101" s="132">
        <f>VLOOKUP(H101,Dados!$B$2:$C$53,2,0)</f>
        <v>13</v>
      </c>
      <c r="J101" s="112">
        <f>VLOOKUP(H101,Dados!$B$2:$E$53,4,0)</f>
        <v>100</v>
      </c>
    </row>
    <row r="102" spans="1:10" ht="156" x14ac:dyDescent="0.2">
      <c r="A102" s="70" t="s">
        <v>17</v>
      </c>
      <c r="B102" s="70" t="s">
        <v>476</v>
      </c>
      <c r="C102" s="70" t="s">
        <v>140</v>
      </c>
      <c r="D102" s="72" t="s">
        <v>477</v>
      </c>
      <c r="E102" s="71" t="s">
        <v>155</v>
      </c>
      <c r="F102" s="76" t="s">
        <v>382</v>
      </c>
      <c r="G102" s="87" t="s">
        <v>945</v>
      </c>
      <c r="H102" s="70" t="s">
        <v>370</v>
      </c>
      <c r="I102" s="132">
        <f>VLOOKUP(H102,Dados!$B$2:$C$53,2,0)</f>
        <v>13</v>
      </c>
      <c r="J102" s="112">
        <f>VLOOKUP(H102,Dados!$B$2:$E$53,4,0)</f>
        <v>100</v>
      </c>
    </row>
    <row r="103" spans="1:10" ht="120" x14ac:dyDescent="0.2">
      <c r="A103" s="70" t="s">
        <v>10</v>
      </c>
      <c r="B103" s="70" t="s">
        <v>113</v>
      </c>
      <c r="C103" s="70" t="s">
        <v>140</v>
      </c>
      <c r="D103" s="72" t="s">
        <v>478</v>
      </c>
      <c r="E103" s="71" t="s">
        <v>479</v>
      </c>
      <c r="F103" s="76" t="s">
        <v>382</v>
      </c>
      <c r="G103" s="87" t="s">
        <v>982</v>
      </c>
      <c r="H103" s="70" t="s">
        <v>370</v>
      </c>
      <c r="I103" s="132">
        <f>VLOOKUP(H103,Dados!$B$2:$C$53,2,0)</f>
        <v>13</v>
      </c>
      <c r="J103" s="112">
        <f>VLOOKUP(H103,Dados!$B$2:$E$53,4,0)</f>
        <v>100</v>
      </c>
    </row>
    <row r="104" spans="1:10" ht="96" x14ac:dyDescent="0.2">
      <c r="A104" s="70" t="s">
        <v>10</v>
      </c>
      <c r="B104" s="70" t="s">
        <v>480</v>
      </c>
      <c r="C104" s="70" t="s">
        <v>140</v>
      </c>
      <c r="D104" s="72" t="s">
        <v>158</v>
      </c>
      <c r="E104" s="71" t="s">
        <v>67</v>
      </c>
      <c r="F104" s="76" t="s">
        <v>382</v>
      </c>
      <c r="G104" s="87" t="s">
        <v>1274</v>
      </c>
      <c r="H104" s="70" t="s">
        <v>370</v>
      </c>
      <c r="I104" s="132">
        <f>VLOOKUP(H104,Dados!$B$2:$C$53,2,0)</f>
        <v>13</v>
      </c>
      <c r="J104" s="112">
        <f>VLOOKUP(H104,Dados!$B$2:$E$53,4,0)</f>
        <v>100</v>
      </c>
    </row>
    <row r="105" spans="1:10" ht="108" x14ac:dyDescent="0.2">
      <c r="A105" s="70" t="s">
        <v>10</v>
      </c>
      <c r="B105" s="70" t="s">
        <v>40</v>
      </c>
      <c r="C105" s="70" t="s">
        <v>140</v>
      </c>
      <c r="D105" s="72" t="s">
        <v>481</v>
      </c>
      <c r="E105" s="71" t="s">
        <v>43</v>
      </c>
      <c r="F105" s="76" t="s">
        <v>382</v>
      </c>
      <c r="G105" s="87" t="s">
        <v>1090</v>
      </c>
      <c r="H105" s="70" t="s">
        <v>387</v>
      </c>
      <c r="I105" s="132">
        <f>VLOOKUP(H105,Dados!$B$2:$C$53,2,0)</f>
        <v>10</v>
      </c>
      <c r="J105" s="112">
        <f>VLOOKUP(H105,Dados!$B$2:$E$53,4,0)</f>
        <v>80</v>
      </c>
    </row>
    <row r="106" spans="1:10" ht="24" x14ac:dyDescent="0.2">
      <c r="A106" s="70" t="s">
        <v>22</v>
      </c>
      <c r="B106" s="70" t="s">
        <v>482</v>
      </c>
      <c r="C106" s="70" t="s">
        <v>484</v>
      </c>
      <c r="D106" s="72" t="s">
        <v>483</v>
      </c>
      <c r="E106" s="71" t="s">
        <v>485</v>
      </c>
      <c r="F106" s="76" t="s">
        <v>402</v>
      </c>
      <c r="G106" s="87" t="s">
        <v>486</v>
      </c>
      <c r="H106" s="70" t="s">
        <v>370</v>
      </c>
      <c r="I106" s="132">
        <f>VLOOKUP(H106,Dados!$B$2:$C$53,2,0)</f>
        <v>13</v>
      </c>
      <c r="J106" s="112">
        <f>VLOOKUP(H106,Dados!$B$2:$E$53,4,0)</f>
        <v>100</v>
      </c>
    </row>
    <row r="107" spans="1:10" ht="24" x14ac:dyDescent="0.2">
      <c r="A107" s="70" t="s">
        <v>22</v>
      </c>
      <c r="B107" s="70" t="s">
        <v>487</v>
      </c>
      <c r="C107" s="70" t="s">
        <v>488</v>
      </c>
      <c r="D107" s="72" t="s">
        <v>489</v>
      </c>
      <c r="E107" s="71" t="s">
        <v>32</v>
      </c>
      <c r="F107" s="76" t="s">
        <v>402</v>
      </c>
      <c r="G107" s="87" t="s">
        <v>486</v>
      </c>
      <c r="H107" s="70" t="s">
        <v>370</v>
      </c>
      <c r="I107" s="132">
        <f>VLOOKUP(H107,Dados!$B$2:$C$53,2,0)</f>
        <v>13</v>
      </c>
      <c r="J107" s="112">
        <f>VLOOKUP(H107,Dados!$B$2:$E$53,4,0)</f>
        <v>100</v>
      </c>
    </row>
    <row r="108" spans="1:10" ht="48" x14ac:dyDescent="0.2">
      <c r="A108" s="70" t="s">
        <v>39</v>
      </c>
      <c r="B108" s="70" t="s">
        <v>496</v>
      </c>
      <c r="C108" s="70" t="s">
        <v>497</v>
      </c>
      <c r="D108" s="72" t="s">
        <v>495</v>
      </c>
      <c r="E108" s="71" t="s">
        <v>77</v>
      </c>
      <c r="F108" s="76" t="s">
        <v>401</v>
      </c>
      <c r="G108" s="87" t="s">
        <v>543</v>
      </c>
      <c r="H108" s="70" t="s">
        <v>370</v>
      </c>
      <c r="I108" s="132">
        <f>VLOOKUP(H108,Dados!$B$2:$C$53,2,0)</f>
        <v>13</v>
      </c>
      <c r="J108" s="112">
        <f>VLOOKUP(H108,Dados!$B$2:$E$53,4,0)</f>
        <v>100</v>
      </c>
    </row>
    <row r="109" spans="1:10" ht="24" x14ac:dyDescent="0.2">
      <c r="A109" s="70" t="s">
        <v>22</v>
      </c>
      <c r="B109" s="70" t="s">
        <v>501</v>
      </c>
      <c r="C109" s="70" t="s">
        <v>502</v>
      </c>
      <c r="D109" s="72" t="s">
        <v>503</v>
      </c>
      <c r="E109" s="71" t="s">
        <v>32</v>
      </c>
      <c r="F109" s="76" t="s">
        <v>402</v>
      </c>
      <c r="G109" s="87" t="s">
        <v>498</v>
      </c>
      <c r="H109" s="70" t="s">
        <v>370</v>
      </c>
      <c r="I109" s="132">
        <f>VLOOKUP(H109,Dados!$B$2:$C$53,2,0)</f>
        <v>13</v>
      </c>
      <c r="J109" s="112">
        <f>VLOOKUP(H109,Dados!$B$2:$E$53,4,0)</f>
        <v>100</v>
      </c>
    </row>
    <row r="110" spans="1:10" ht="24" x14ac:dyDescent="0.2">
      <c r="A110" s="70" t="s">
        <v>22</v>
      </c>
      <c r="B110" s="70" t="s">
        <v>504</v>
      </c>
      <c r="C110" s="70" t="s">
        <v>505</v>
      </c>
      <c r="D110" s="72" t="s">
        <v>506</v>
      </c>
      <c r="E110" s="71" t="s">
        <v>67</v>
      </c>
      <c r="F110" s="76" t="s">
        <v>402</v>
      </c>
      <c r="G110" s="87" t="s">
        <v>498</v>
      </c>
      <c r="H110" s="70" t="s">
        <v>370</v>
      </c>
      <c r="I110" s="132">
        <f>VLOOKUP(H110,Dados!$B$2:$C$53,2,0)</f>
        <v>13</v>
      </c>
      <c r="J110" s="112">
        <f>VLOOKUP(H110,Dados!$B$2:$E$53,4,0)</f>
        <v>100</v>
      </c>
    </row>
    <row r="111" spans="1:10" ht="48" x14ac:dyDescent="0.2">
      <c r="A111" s="70" t="s">
        <v>58</v>
      </c>
      <c r="B111" s="70" t="s">
        <v>330</v>
      </c>
      <c r="C111" s="70" t="s">
        <v>508</v>
      </c>
      <c r="D111" s="72" t="s">
        <v>507</v>
      </c>
      <c r="E111" s="71" t="s">
        <v>16</v>
      </c>
      <c r="F111" s="76" t="s">
        <v>401</v>
      </c>
      <c r="G111" s="87" t="s">
        <v>576</v>
      </c>
      <c r="H111" s="70" t="s">
        <v>370</v>
      </c>
      <c r="I111" s="132">
        <f>VLOOKUP(H111,Dados!$B$2:$C$53,2,0)</f>
        <v>13</v>
      </c>
      <c r="J111" s="112">
        <f>VLOOKUP(H111,Dados!$B$2:$E$53,4,0)</f>
        <v>100</v>
      </c>
    </row>
    <row r="112" spans="1:10" ht="24" x14ac:dyDescent="0.2">
      <c r="A112" s="70" t="s">
        <v>22</v>
      </c>
      <c r="B112" s="70" t="s">
        <v>511</v>
      </c>
      <c r="C112" s="70" t="s">
        <v>512</v>
      </c>
      <c r="D112" s="72" t="s">
        <v>513</v>
      </c>
      <c r="E112" s="71" t="s">
        <v>32</v>
      </c>
      <c r="F112" s="76" t="s">
        <v>402</v>
      </c>
      <c r="G112" s="87" t="s">
        <v>514</v>
      </c>
      <c r="H112" s="70" t="s">
        <v>370</v>
      </c>
      <c r="I112" s="132">
        <f>VLOOKUP(H112,Dados!$B$2:$C$53,2,0)</f>
        <v>13</v>
      </c>
      <c r="J112" s="112">
        <f>VLOOKUP(H112,Dados!$B$2:$E$53,4,0)</f>
        <v>100</v>
      </c>
    </row>
    <row r="113" spans="1:10" ht="24" x14ac:dyDescent="0.2">
      <c r="A113" s="70" t="s">
        <v>22</v>
      </c>
      <c r="B113" s="70" t="s">
        <v>516</v>
      </c>
      <c r="C113" s="70" t="s">
        <v>517</v>
      </c>
      <c r="D113" s="72" t="s">
        <v>515</v>
      </c>
      <c r="E113" s="71" t="s">
        <v>132</v>
      </c>
      <c r="F113" s="76" t="s">
        <v>402</v>
      </c>
      <c r="G113" s="87" t="s">
        <v>514</v>
      </c>
      <c r="H113" s="70" t="s">
        <v>370</v>
      </c>
      <c r="I113" s="132">
        <f>VLOOKUP(H113,Dados!$B$2:$C$53,2,0)</f>
        <v>13</v>
      </c>
      <c r="J113" s="112">
        <f>VLOOKUP(H113,Dados!$B$2:$E$53,4,0)</f>
        <v>100</v>
      </c>
    </row>
    <row r="114" spans="1:10" ht="60" x14ac:dyDescent="0.2">
      <c r="A114" s="70" t="s">
        <v>39</v>
      </c>
      <c r="B114" s="70" t="s">
        <v>518</v>
      </c>
      <c r="C114" s="70" t="s">
        <v>84</v>
      </c>
      <c r="D114" s="72" t="s">
        <v>519</v>
      </c>
      <c r="E114" s="71" t="s">
        <v>67</v>
      </c>
      <c r="F114" s="76" t="s">
        <v>401</v>
      </c>
      <c r="G114" s="87" t="s">
        <v>553</v>
      </c>
      <c r="H114" s="70" t="s">
        <v>370</v>
      </c>
      <c r="I114" s="132">
        <f>VLOOKUP(H114,Dados!$B$2:$C$53,2,0)</f>
        <v>13</v>
      </c>
      <c r="J114" s="112">
        <f>VLOOKUP(H114,Dados!$B$2:$E$53,4,0)</f>
        <v>100</v>
      </c>
    </row>
    <row r="115" spans="1:10" ht="132" x14ac:dyDescent="0.2">
      <c r="A115" s="70" t="s">
        <v>39</v>
      </c>
      <c r="B115" s="70" t="s">
        <v>525</v>
      </c>
      <c r="C115" s="70" t="s">
        <v>84</v>
      </c>
      <c r="D115" s="72" t="s">
        <v>523</v>
      </c>
      <c r="E115" s="71" t="s">
        <v>210</v>
      </c>
      <c r="F115" s="76" t="s">
        <v>380</v>
      </c>
      <c r="G115" s="87" t="s">
        <v>754</v>
      </c>
      <c r="H115" s="70" t="s">
        <v>370</v>
      </c>
      <c r="I115" s="132">
        <f>VLOOKUP(H115,Dados!$B$2:$C$53,2,0)</f>
        <v>13</v>
      </c>
      <c r="J115" s="112">
        <f>VLOOKUP(H115,Dados!$B$2:$E$53,4,0)</f>
        <v>100</v>
      </c>
    </row>
    <row r="116" spans="1:10" ht="48" x14ac:dyDescent="0.2">
      <c r="A116" s="70" t="s">
        <v>17</v>
      </c>
      <c r="B116" s="70" t="s">
        <v>529</v>
      </c>
      <c r="C116" s="70" t="s">
        <v>527</v>
      </c>
      <c r="D116" s="72" t="s">
        <v>528</v>
      </c>
      <c r="E116" s="71" t="s">
        <v>16</v>
      </c>
      <c r="F116" s="76" t="s">
        <v>401</v>
      </c>
      <c r="G116" s="87" t="s">
        <v>890</v>
      </c>
      <c r="H116" s="70" t="s">
        <v>370</v>
      </c>
      <c r="I116" s="132">
        <f>VLOOKUP(H116,Dados!$B$2:$C$53,2,0)</f>
        <v>13</v>
      </c>
      <c r="J116" s="112">
        <f>VLOOKUP(H116,Dados!$B$2:$E$53,4,0)</f>
        <v>100</v>
      </c>
    </row>
    <row r="117" spans="1:10" ht="84" x14ac:dyDescent="0.2">
      <c r="A117" s="70" t="s">
        <v>10</v>
      </c>
      <c r="B117" s="70" t="s">
        <v>241</v>
      </c>
      <c r="C117" s="70" t="s">
        <v>140</v>
      </c>
      <c r="D117" s="72" t="s">
        <v>242</v>
      </c>
      <c r="E117" s="71" t="s">
        <v>188</v>
      </c>
      <c r="F117" s="76" t="s">
        <v>380</v>
      </c>
      <c r="G117" s="87" t="s">
        <v>858</v>
      </c>
      <c r="H117" s="70" t="s">
        <v>370</v>
      </c>
      <c r="I117" s="132">
        <f>VLOOKUP(H117,Dados!$B$2:$C$53,2,0)</f>
        <v>13</v>
      </c>
      <c r="J117" s="112">
        <f>VLOOKUP(H117,Dados!$B$2:$E$53,4,0)</f>
        <v>100</v>
      </c>
    </row>
    <row r="118" spans="1:10" ht="48" x14ac:dyDescent="0.2">
      <c r="A118" s="70" t="s">
        <v>10</v>
      </c>
      <c r="B118" s="70" t="s">
        <v>537</v>
      </c>
      <c r="C118" s="70" t="s">
        <v>538</v>
      </c>
      <c r="D118" s="72" t="s">
        <v>539</v>
      </c>
      <c r="E118" s="71" t="s">
        <v>360</v>
      </c>
      <c r="F118" s="76" t="s">
        <v>401</v>
      </c>
      <c r="G118" s="87" t="s">
        <v>577</v>
      </c>
      <c r="H118" s="70" t="s">
        <v>370</v>
      </c>
      <c r="I118" s="132">
        <f>VLOOKUP(H118,Dados!$B$2:$C$53,2,0)</f>
        <v>13</v>
      </c>
      <c r="J118" s="112">
        <f>VLOOKUP(H118,Dados!$B$2:$E$53,4,0)</f>
        <v>100</v>
      </c>
    </row>
    <row r="119" spans="1:10" ht="48" x14ac:dyDescent="0.2">
      <c r="A119" s="70" t="s">
        <v>10</v>
      </c>
      <c r="B119" s="70" t="s">
        <v>542</v>
      </c>
      <c r="C119" s="70" t="s">
        <v>540</v>
      </c>
      <c r="D119" s="72" t="s">
        <v>541</v>
      </c>
      <c r="E119" s="71" t="s">
        <v>16</v>
      </c>
      <c r="F119" s="76" t="s">
        <v>401</v>
      </c>
      <c r="G119" s="87" t="s">
        <v>956</v>
      </c>
      <c r="H119" s="70" t="s">
        <v>369</v>
      </c>
      <c r="I119" s="132">
        <f>VLOOKUP(H119,Dados!$B$2:$C$53,2,0)</f>
        <v>12</v>
      </c>
      <c r="J119" s="112">
        <f>VLOOKUP(H119,Dados!$B$2:$E$53,4,0)</f>
        <v>95</v>
      </c>
    </row>
    <row r="120" spans="1:10" ht="60" x14ac:dyDescent="0.2">
      <c r="A120" s="70" t="s">
        <v>39</v>
      </c>
      <c r="B120" s="70" t="s">
        <v>549</v>
      </c>
      <c r="C120" s="70" t="s">
        <v>84</v>
      </c>
      <c r="D120" s="72" t="s">
        <v>1148</v>
      </c>
      <c r="E120" s="71" t="s">
        <v>548</v>
      </c>
      <c r="F120" s="76" t="s">
        <v>381</v>
      </c>
      <c r="G120" s="87" t="s">
        <v>590</v>
      </c>
      <c r="H120" s="70" t="s">
        <v>370</v>
      </c>
      <c r="I120" s="132">
        <f>VLOOKUP(H120,Dados!$B$2:$C$53,2,0)</f>
        <v>13</v>
      </c>
      <c r="J120" s="112">
        <f>VLOOKUP(H120,Dados!$B$2:$E$53,4,0)</f>
        <v>100</v>
      </c>
    </row>
    <row r="121" spans="1:10" ht="72" x14ac:dyDescent="0.2">
      <c r="A121" s="70" t="s">
        <v>17</v>
      </c>
      <c r="B121" s="70" t="s">
        <v>550</v>
      </c>
      <c r="C121" s="70" t="s">
        <v>551</v>
      </c>
      <c r="D121" s="72" t="s">
        <v>552</v>
      </c>
      <c r="E121" s="71" t="s">
        <v>164</v>
      </c>
      <c r="F121" s="76" t="s">
        <v>401</v>
      </c>
      <c r="G121" s="87" t="s">
        <v>891</v>
      </c>
      <c r="H121" s="70" t="s">
        <v>370</v>
      </c>
      <c r="I121" s="132">
        <f>VLOOKUP(H121,Dados!$B$2:$C$53,2,0)</f>
        <v>13</v>
      </c>
      <c r="J121" s="112">
        <f>VLOOKUP(H121,Dados!$B$2:$E$53,4,0)</f>
        <v>100</v>
      </c>
    </row>
    <row r="122" spans="1:10" ht="84" x14ac:dyDescent="0.2">
      <c r="A122" s="70" t="s">
        <v>39</v>
      </c>
      <c r="B122" s="70" t="s">
        <v>19</v>
      </c>
      <c r="C122" s="70" t="s">
        <v>555</v>
      </c>
      <c r="D122" s="72" t="s">
        <v>556</v>
      </c>
      <c r="E122" s="71" t="s">
        <v>16</v>
      </c>
      <c r="F122" s="76" t="s">
        <v>401</v>
      </c>
      <c r="G122" s="87" t="s">
        <v>583</v>
      </c>
      <c r="H122" s="70" t="s">
        <v>370</v>
      </c>
      <c r="I122" s="132">
        <f>VLOOKUP(H122,Dados!$B$2:$C$53,2,0)</f>
        <v>13</v>
      </c>
      <c r="J122" s="112">
        <f>VLOOKUP(H122,Dados!$B$2:$E$53,4,0)</f>
        <v>100</v>
      </c>
    </row>
    <row r="123" spans="1:10" ht="48" x14ac:dyDescent="0.2">
      <c r="A123" s="70" t="s">
        <v>17</v>
      </c>
      <c r="B123" s="70" t="s">
        <v>558</v>
      </c>
      <c r="C123" s="70" t="s">
        <v>559</v>
      </c>
      <c r="D123" s="72" t="s">
        <v>1166</v>
      </c>
      <c r="E123" s="71" t="s">
        <v>127</v>
      </c>
      <c r="F123" s="76" t="s">
        <v>401</v>
      </c>
      <c r="G123" s="87" t="s">
        <v>892</v>
      </c>
      <c r="H123" s="70" t="s">
        <v>370</v>
      </c>
      <c r="I123" s="132">
        <f>VLOOKUP(H123,Dados!$B$2:$C$53,2,0)</f>
        <v>13</v>
      </c>
      <c r="J123" s="112">
        <f>VLOOKUP(H123,Dados!$B$2:$E$53,4,0)</f>
        <v>100</v>
      </c>
    </row>
    <row r="124" spans="1:10" ht="96" x14ac:dyDescent="0.2">
      <c r="A124" s="70" t="s">
        <v>17</v>
      </c>
      <c r="B124" s="70" t="s">
        <v>7</v>
      </c>
      <c r="C124" s="70" t="s">
        <v>157</v>
      </c>
      <c r="D124" s="72" t="s">
        <v>471</v>
      </c>
      <c r="E124" s="71" t="s">
        <v>8</v>
      </c>
      <c r="F124" s="76" t="s">
        <v>381</v>
      </c>
      <c r="G124" s="87" t="s">
        <v>1224</v>
      </c>
      <c r="H124" s="70" t="s">
        <v>366</v>
      </c>
      <c r="I124" s="132">
        <f>VLOOKUP(H124,Dados!$B$2:$C$53,2,0)</f>
        <v>7</v>
      </c>
      <c r="J124" s="112">
        <f>VLOOKUP(H124,Dados!$B$2:$E$53,4,0)</f>
        <v>50</v>
      </c>
    </row>
    <row r="125" spans="1:10" ht="60" x14ac:dyDescent="0.2">
      <c r="A125" s="70" t="s">
        <v>10</v>
      </c>
      <c r="B125" s="70" t="s">
        <v>561</v>
      </c>
      <c r="C125" s="70" t="s">
        <v>84</v>
      </c>
      <c r="D125" s="72" t="s">
        <v>1105</v>
      </c>
      <c r="E125" s="71" t="s">
        <v>8</v>
      </c>
      <c r="F125" s="76" t="s">
        <v>381</v>
      </c>
      <c r="G125" s="87" t="s">
        <v>738</v>
      </c>
      <c r="H125" s="70" t="s">
        <v>370</v>
      </c>
      <c r="I125" s="132">
        <f>VLOOKUP(H125,Dados!$B$2:$C$53,2,0)</f>
        <v>13</v>
      </c>
      <c r="J125" s="112">
        <f>VLOOKUP(H125,Dados!$B$2:$E$53,4,0)</f>
        <v>100</v>
      </c>
    </row>
    <row r="126" spans="1:10" ht="96" x14ac:dyDescent="0.2">
      <c r="A126" s="70" t="s">
        <v>58</v>
      </c>
      <c r="B126" s="70" t="s">
        <v>565</v>
      </c>
      <c r="C126" s="70" t="s">
        <v>150</v>
      </c>
      <c r="D126" s="72" t="s">
        <v>562</v>
      </c>
      <c r="E126" s="71" t="s">
        <v>43</v>
      </c>
      <c r="F126" s="76" t="s">
        <v>380</v>
      </c>
      <c r="G126" s="87" t="s">
        <v>1310</v>
      </c>
      <c r="H126" s="70" t="s">
        <v>370</v>
      </c>
      <c r="I126" s="132">
        <f>VLOOKUP(H126,Dados!$B$2:$C$53,2,0)</f>
        <v>13</v>
      </c>
      <c r="J126" s="112">
        <f>VLOOKUP(H126,Dados!$B$2:$E$53,4,0)</f>
        <v>100</v>
      </c>
    </row>
    <row r="127" spans="1:10" ht="48" x14ac:dyDescent="0.2">
      <c r="A127" s="70" t="s">
        <v>10</v>
      </c>
      <c r="B127" s="70" t="s">
        <v>567</v>
      </c>
      <c r="C127" s="70" t="s">
        <v>84</v>
      </c>
      <c r="D127" s="72" t="s">
        <v>568</v>
      </c>
      <c r="E127" s="71" t="s">
        <v>278</v>
      </c>
      <c r="F127" s="76" t="s">
        <v>401</v>
      </c>
      <c r="G127" s="87" t="s">
        <v>640</v>
      </c>
      <c r="H127" s="70" t="s">
        <v>370</v>
      </c>
      <c r="I127" s="132">
        <f>VLOOKUP(H127,Dados!$B$2:$C$53,2,0)</f>
        <v>13</v>
      </c>
      <c r="J127" s="112">
        <f>VLOOKUP(H127,Dados!$B$2:$E$53,4,0)</f>
        <v>100</v>
      </c>
    </row>
    <row r="128" spans="1:10" ht="72" x14ac:dyDescent="0.2">
      <c r="A128" s="70" t="s">
        <v>58</v>
      </c>
      <c r="B128" s="70" t="s">
        <v>571</v>
      </c>
      <c r="C128" s="70" t="s">
        <v>572</v>
      </c>
      <c r="D128" s="72" t="s">
        <v>573</v>
      </c>
      <c r="E128" s="71" t="s">
        <v>77</v>
      </c>
      <c r="F128" s="76" t="s">
        <v>401</v>
      </c>
      <c r="G128" s="87" t="s">
        <v>603</v>
      </c>
      <c r="H128" s="70" t="s">
        <v>370</v>
      </c>
      <c r="I128" s="132">
        <f>VLOOKUP(H128,Dados!$B$2:$C$53,2,0)</f>
        <v>13</v>
      </c>
      <c r="J128" s="112">
        <f>VLOOKUP(H128,Dados!$B$2:$E$53,4,0)</f>
        <v>100</v>
      </c>
    </row>
    <row r="129" spans="1:10" ht="60" x14ac:dyDescent="0.2">
      <c r="A129" s="70" t="s">
        <v>39</v>
      </c>
      <c r="B129" s="70" t="s">
        <v>579</v>
      </c>
      <c r="C129" s="70" t="s">
        <v>580</v>
      </c>
      <c r="D129" s="72" t="s">
        <v>581</v>
      </c>
      <c r="E129" s="71" t="s">
        <v>582</v>
      </c>
      <c r="F129" s="76" t="s">
        <v>401</v>
      </c>
      <c r="G129" s="87" t="s">
        <v>584</v>
      </c>
      <c r="H129" s="70" t="s">
        <v>370</v>
      </c>
      <c r="I129" s="132">
        <f>VLOOKUP(H129,Dados!$B$2:$C$53,2,0)</f>
        <v>13</v>
      </c>
      <c r="J129" s="112">
        <f>VLOOKUP(H129,Dados!$B$2:$E$53,4,0)</f>
        <v>100</v>
      </c>
    </row>
    <row r="130" spans="1:10" ht="48" x14ac:dyDescent="0.2">
      <c r="A130" s="70" t="s">
        <v>58</v>
      </c>
      <c r="B130" s="70" t="s">
        <v>104</v>
      </c>
      <c r="C130" s="70" t="s">
        <v>105</v>
      </c>
      <c r="D130" s="72" t="s">
        <v>586</v>
      </c>
      <c r="E130" s="71" t="s">
        <v>43</v>
      </c>
      <c r="F130" s="76" t="s">
        <v>381</v>
      </c>
      <c r="G130" s="87" t="s">
        <v>644</v>
      </c>
      <c r="H130" s="70" t="s">
        <v>370</v>
      </c>
      <c r="I130" s="132">
        <f>VLOOKUP(H130,Dados!$B$2:$C$53,2,0)</f>
        <v>13</v>
      </c>
      <c r="J130" s="112">
        <f>VLOOKUP(H130,Dados!$B$2:$E$53,4,0)</f>
        <v>100</v>
      </c>
    </row>
    <row r="131" spans="1:10" ht="48" x14ac:dyDescent="0.2">
      <c r="A131" s="70" t="s">
        <v>17</v>
      </c>
      <c r="B131" s="70" t="s">
        <v>26</v>
      </c>
      <c r="C131" s="70" t="s">
        <v>588</v>
      </c>
      <c r="D131" s="72" t="s">
        <v>589</v>
      </c>
      <c r="E131" s="71" t="s">
        <v>16</v>
      </c>
      <c r="F131" s="76" t="s">
        <v>401</v>
      </c>
      <c r="G131" s="87" t="s">
        <v>893</v>
      </c>
      <c r="H131" s="70" t="s">
        <v>370</v>
      </c>
      <c r="I131" s="132">
        <f>VLOOKUP(H131,Dados!$B$2:$C$53,2,0)</f>
        <v>13</v>
      </c>
      <c r="J131" s="112">
        <f>VLOOKUP(H131,Dados!$B$2:$E$53,4,0)</f>
        <v>100</v>
      </c>
    </row>
    <row r="132" spans="1:10" ht="24" x14ac:dyDescent="0.2">
      <c r="A132" s="70" t="s">
        <v>10</v>
      </c>
      <c r="B132" s="70" t="s">
        <v>643</v>
      </c>
      <c r="C132" s="70" t="s">
        <v>592</v>
      </c>
      <c r="D132" s="72" t="s">
        <v>990</v>
      </c>
      <c r="E132" s="71" t="s">
        <v>593</v>
      </c>
      <c r="F132" s="76" t="s">
        <v>401</v>
      </c>
      <c r="G132" s="87" t="s">
        <v>704</v>
      </c>
      <c r="H132" s="70" t="s">
        <v>370</v>
      </c>
      <c r="I132" s="132">
        <f>VLOOKUP(H132,Dados!$B$2:$C$53,2,0)</f>
        <v>13</v>
      </c>
      <c r="J132" s="112">
        <f>VLOOKUP(H132,Dados!$B$2:$E$53,4,0)</f>
        <v>100</v>
      </c>
    </row>
    <row r="133" spans="1:10" ht="72" x14ac:dyDescent="0.2">
      <c r="A133" s="70" t="s">
        <v>58</v>
      </c>
      <c r="B133" s="70" t="s">
        <v>7</v>
      </c>
      <c r="C133" s="70" t="s">
        <v>157</v>
      </c>
      <c r="D133" s="72" t="s">
        <v>595</v>
      </c>
      <c r="E133" s="71" t="s">
        <v>8</v>
      </c>
      <c r="F133" s="76" t="s">
        <v>401</v>
      </c>
      <c r="G133" s="87" t="s">
        <v>651</v>
      </c>
      <c r="H133" s="70" t="s">
        <v>370</v>
      </c>
      <c r="I133" s="132">
        <f>VLOOKUP(H133,Dados!$B$2:$C$53,2,0)</f>
        <v>13</v>
      </c>
      <c r="J133" s="112">
        <f>VLOOKUP(H133,Dados!$B$2:$E$53,4,0)</f>
        <v>100</v>
      </c>
    </row>
    <row r="134" spans="1:10" ht="24" x14ac:dyDescent="0.2">
      <c r="A134" s="70" t="s">
        <v>22</v>
      </c>
      <c r="B134" s="70" t="s">
        <v>596</v>
      </c>
      <c r="C134" s="70" t="s">
        <v>597</v>
      </c>
      <c r="D134" s="72" t="s">
        <v>598</v>
      </c>
      <c r="E134" s="71" t="s">
        <v>102</v>
      </c>
      <c r="F134" s="76" t="s">
        <v>402</v>
      </c>
      <c r="G134" s="87" t="s">
        <v>599</v>
      </c>
      <c r="H134" s="70" t="s">
        <v>370</v>
      </c>
      <c r="I134" s="132">
        <f>VLOOKUP(H134,Dados!$B$2:$C$53,2,0)</f>
        <v>13</v>
      </c>
      <c r="J134" s="112">
        <f>VLOOKUP(H134,Dados!$B$2:$E$53,4,0)</f>
        <v>100</v>
      </c>
    </row>
    <row r="135" spans="1:10" ht="24" x14ac:dyDescent="0.2">
      <c r="A135" s="70" t="s">
        <v>22</v>
      </c>
      <c r="B135" s="70" t="s">
        <v>600</v>
      </c>
      <c r="C135" s="70" t="s">
        <v>601</v>
      </c>
      <c r="D135" s="72" t="s">
        <v>602</v>
      </c>
      <c r="E135" s="71" t="s">
        <v>164</v>
      </c>
      <c r="F135" s="76" t="s">
        <v>402</v>
      </c>
      <c r="G135" s="87" t="s">
        <v>599</v>
      </c>
      <c r="H135" s="70" t="s">
        <v>370</v>
      </c>
      <c r="I135" s="132">
        <f>VLOOKUP(H135,Dados!$B$2:$C$53,2,0)</f>
        <v>13</v>
      </c>
      <c r="J135" s="112">
        <f>VLOOKUP(H135,Dados!$B$2:$E$53,4,0)</f>
        <v>100</v>
      </c>
    </row>
    <row r="136" spans="1:10" ht="24" x14ac:dyDescent="0.2">
      <c r="A136" s="70" t="s">
        <v>22</v>
      </c>
      <c r="B136" s="70" t="s">
        <v>605</v>
      </c>
      <c r="C136" s="70" t="s">
        <v>606</v>
      </c>
      <c r="D136" s="72" t="s">
        <v>607</v>
      </c>
      <c r="E136" s="71" t="s">
        <v>32</v>
      </c>
      <c r="F136" s="76" t="s">
        <v>402</v>
      </c>
      <c r="G136" s="87" t="s">
        <v>608</v>
      </c>
      <c r="H136" s="70" t="s">
        <v>370</v>
      </c>
      <c r="I136" s="132">
        <f>VLOOKUP(H136,Dados!$B$2:$C$53,2,0)</f>
        <v>13</v>
      </c>
      <c r="J136" s="112">
        <f>VLOOKUP(H136,Dados!$B$2:$E$53,4,0)</f>
        <v>100</v>
      </c>
    </row>
    <row r="137" spans="1:10" ht="24" x14ac:dyDescent="0.2">
      <c r="A137" s="70" t="s">
        <v>22</v>
      </c>
      <c r="B137" s="70" t="s">
        <v>609</v>
      </c>
      <c r="C137" s="70" t="s">
        <v>610</v>
      </c>
      <c r="D137" s="72" t="s">
        <v>611</v>
      </c>
      <c r="E137" s="71" t="s">
        <v>210</v>
      </c>
      <c r="F137" s="76" t="s">
        <v>402</v>
      </c>
      <c r="G137" s="87" t="s">
        <v>612</v>
      </c>
      <c r="H137" s="70" t="s">
        <v>370</v>
      </c>
      <c r="I137" s="132">
        <f>VLOOKUP(H137,Dados!$B$2:$C$53,2,0)</f>
        <v>13</v>
      </c>
      <c r="J137" s="112">
        <f>VLOOKUP(H137,Dados!$B$2:$E$53,4,0)</f>
        <v>100</v>
      </c>
    </row>
    <row r="138" spans="1:10" ht="60" x14ac:dyDescent="0.2">
      <c r="A138" s="70" t="s">
        <v>39</v>
      </c>
      <c r="B138" s="70" t="s">
        <v>224</v>
      </c>
      <c r="C138" s="70" t="s">
        <v>225</v>
      </c>
      <c r="D138" s="72" t="s">
        <v>226</v>
      </c>
      <c r="E138" s="70" t="s">
        <v>112</v>
      </c>
      <c r="F138" s="76" t="s">
        <v>381</v>
      </c>
      <c r="G138" s="87" t="s">
        <v>630</v>
      </c>
      <c r="H138" s="70" t="s">
        <v>370</v>
      </c>
      <c r="I138" s="132">
        <f>VLOOKUP(H138,Dados!$B$2:$C$53,2,0)</f>
        <v>13</v>
      </c>
      <c r="J138" s="112">
        <f>VLOOKUP(H138,Dados!$B$2:$E$53,4,0)</f>
        <v>100</v>
      </c>
    </row>
    <row r="139" spans="1:10" ht="24" x14ac:dyDescent="0.2">
      <c r="A139" s="70" t="s">
        <v>22</v>
      </c>
      <c r="B139" s="70" t="s">
        <v>617</v>
      </c>
      <c r="C139" s="70" t="s">
        <v>618</v>
      </c>
      <c r="D139" s="72" t="s">
        <v>619</v>
      </c>
      <c r="E139" s="71" t="s">
        <v>32</v>
      </c>
      <c r="F139" s="76" t="s">
        <v>402</v>
      </c>
      <c r="G139" s="87" t="s">
        <v>620</v>
      </c>
      <c r="H139" s="70" t="s">
        <v>370</v>
      </c>
      <c r="I139" s="132">
        <f>VLOOKUP(H139,Dados!$B$2:$C$53,2,0)</f>
        <v>13</v>
      </c>
      <c r="J139" s="112">
        <f>VLOOKUP(H139,Dados!$B$2:$E$53,4,0)</f>
        <v>100</v>
      </c>
    </row>
    <row r="140" spans="1:10" ht="84" x14ac:dyDescent="0.2">
      <c r="A140" s="70" t="s">
        <v>17</v>
      </c>
      <c r="B140" s="70" t="s">
        <v>627</v>
      </c>
      <c r="C140" s="70" t="s">
        <v>109</v>
      </c>
      <c r="D140" s="72" t="s">
        <v>625</v>
      </c>
      <c r="E140" s="71" t="s">
        <v>626</v>
      </c>
      <c r="F140" s="76" t="s">
        <v>382</v>
      </c>
      <c r="G140" s="87" t="s">
        <v>913</v>
      </c>
      <c r="H140" s="70" t="s">
        <v>370</v>
      </c>
      <c r="I140" s="132">
        <f>VLOOKUP(H140,Dados!$B$2:$C$53,2,0)</f>
        <v>13</v>
      </c>
      <c r="J140" s="112">
        <f>VLOOKUP(H140,Dados!$B$2:$E$53,4,0)</f>
        <v>100</v>
      </c>
    </row>
    <row r="141" spans="1:10" ht="84" x14ac:dyDescent="0.2">
      <c r="A141" s="70" t="s">
        <v>58</v>
      </c>
      <c r="B141" s="70" t="s">
        <v>14</v>
      </c>
      <c r="C141" s="70" t="s">
        <v>632</v>
      </c>
      <c r="D141" s="72" t="s">
        <v>633</v>
      </c>
      <c r="E141" s="71" t="s">
        <v>16</v>
      </c>
      <c r="F141" s="76" t="s">
        <v>382</v>
      </c>
      <c r="G141" s="87" t="s">
        <v>758</v>
      </c>
      <c r="H141" s="70" t="s">
        <v>370</v>
      </c>
      <c r="I141" s="132">
        <f>VLOOKUP(H141,Dados!$B$2:$C$53,2,0)</f>
        <v>13</v>
      </c>
      <c r="J141" s="112">
        <f>VLOOKUP(H141,Dados!$B$2:$E$53,4,0)</f>
        <v>100</v>
      </c>
    </row>
    <row r="142" spans="1:10" ht="84" x14ac:dyDescent="0.2">
      <c r="A142" s="70" t="s">
        <v>39</v>
      </c>
      <c r="B142" s="70" t="s">
        <v>636</v>
      </c>
      <c r="C142" s="70" t="s">
        <v>84</v>
      </c>
      <c r="D142" s="72" t="s">
        <v>637</v>
      </c>
      <c r="E142" s="71" t="s">
        <v>86</v>
      </c>
      <c r="F142" s="76" t="s">
        <v>401</v>
      </c>
      <c r="G142" s="87" t="s">
        <v>733</v>
      </c>
      <c r="H142" s="70" t="s">
        <v>370</v>
      </c>
      <c r="I142" s="132">
        <f>VLOOKUP(H142,Dados!$B$2:$C$53,2,0)</f>
        <v>13</v>
      </c>
      <c r="J142" s="112">
        <f>VLOOKUP(H142,Dados!$B$2:$E$53,4,0)</f>
        <v>100</v>
      </c>
    </row>
    <row r="143" spans="1:10" ht="144" x14ac:dyDescent="0.2">
      <c r="A143" s="70" t="s">
        <v>17</v>
      </c>
      <c r="B143" s="70" t="s">
        <v>309</v>
      </c>
      <c r="C143" s="70" t="s">
        <v>140</v>
      </c>
      <c r="D143" s="72" t="s">
        <v>475</v>
      </c>
      <c r="E143" s="71" t="s">
        <v>112</v>
      </c>
      <c r="F143" s="76" t="s">
        <v>380</v>
      </c>
      <c r="G143" s="87" t="s">
        <v>1334</v>
      </c>
      <c r="H143" s="70" t="s">
        <v>369</v>
      </c>
      <c r="I143" s="132">
        <f>VLOOKUP(H143,Dados!$B$2:$C$53,2,0)</f>
        <v>12</v>
      </c>
      <c r="J143" s="112">
        <f>VLOOKUP(H143,Dados!$B$2:$E$53,4,0)</f>
        <v>95</v>
      </c>
    </row>
    <row r="144" spans="1:10" ht="24" x14ac:dyDescent="0.2">
      <c r="A144" s="70" t="s">
        <v>22</v>
      </c>
      <c r="B144" s="70" t="s">
        <v>645</v>
      </c>
      <c r="C144" s="70" t="s">
        <v>340</v>
      </c>
      <c r="D144" s="72" t="s">
        <v>646</v>
      </c>
      <c r="E144" s="71" t="s">
        <v>210</v>
      </c>
      <c r="F144" s="76" t="s">
        <v>402</v>
      </c>
      <c r="G144" s="87" t="s">
        <v>647</v>
      </c>
      <c r="H144" s="70" t="s">
        <v>370</v>
      </c>
      <c r="I144" s="132">
        <f>VLOOKUP(H144,Dados!$B$2:$C$53,2,0)</f>
        <v>13</v>
      </c>
      <c r="J144" s="112">
        <f>VLOOKUP(H144,Dados!$B$2:$E$53,4,0)</f>
        <v>100</v>
      </c>
    </row>
    <row r="145" spans="1:10" ht="24" x14ac:dyDescent="0.2">
      <c r="A145" s="70" t="s">
        <v>22</v>
      </c>
      <c r="B145" s="70" t="s">
        <v>648</v>
      </c>
      <c r="C145" s="70" t="s">
        <v>649</v>
      </c>
      <c r="D145" s="72" t="s">
        <v>650</v>
      </c>
      <c r="E145" s="71" t="s">
        <v>53</v>
      </c>
      <c r="F145" s="76" t="s">
        <v>402</v>
      </c>
      <c r="G145" s="87" t="s">
        <v>647</v>
      </c>
      <c r="H145" s="70" t="s">
        <v>370</v>
      </c>
      <c r="I145" s="132">
        <f>VLOOKUP(H145,Dados!$B$2:$C$53,2,0)</f>
        <v>13</v>
      </c>
      <c r="J145" s="112">
        <f>VLOOKUP(H145,Dados!$B$2:$E$53,4,0)</f>
        <v>100</v>
      </c>
    </row>
    <row r="146" spans="1:10" ht="132" x14ac:dyDescent="0.2">
      <c r="A146" s="70" t="s">
        <v>39</v>
      </c>
      <c r="B146" s="70" t="s">
        <v>78</v>
      </c>
      <c r="C146" s="70" t="s">
        <v>655</v>
      </c>
      <c r="D146" s="72" t="s">
        <v>1195</v>
      </c>
      <c r="E146" s="70" t="s">
        <v>222</v>
      </c>
      <c r="F146" s="76" t="s">
        <v>380</v>
      </c>
      <c r="G146" s="87" t="s">
        <v>1194</v>
      </c>
      <c r="H146" s="70" t="s">
        <v>370</v>
      </c>
      <c r="I146" s="132">
        <f>VLOOKUP(H146,Dados!$B$2:$C$53,2,0)</f>
        <v>13</v>
      </c>
      <c r="J146" s="112">
        <f>VLOOKUP(H146,Dados!$B$2:$E$53,4,0)</f>
        <v>100</v>
      </c>
    </row>
    <row r="147" spans="1:10" ht="36" x14ac:dyDescent="0.2">
      <c r="A147" s="70" t="s">
        <v>22</v>
      </c>
      <c r="B147" s="70" t="s">
        <v>656</v>
      </c>
      <c r="C147" s="70" t="s">
        <v>657</v>
      </c>
      <c r="D147" s="72" t="s">
        <v>658</v>
      </c>
      <c r="E147" s="71" t="s">
        <v>659</v>
      </c>
      <c r="F147" s="76" t="s">
        <v>402</v>
      </c>
      <c r="G147" s="87" t="s">
        <v>660</v>
      </c>
      <c r="H147" s="70" t="s">
        <v>370</v>
      </c>
      <c r="I147" s="132">
        <f>VLOOKUP(H147,Dados!$B$2:$C$53,2,0)</f>
        <v>13</v>
      </c>
      <c r="J147" s="112">
        <f>VLOOKUP(H147,Dados!$B$2:$E$53,4,0)</f>
        <v>100</v>
      </c>
    </row>
    <row r="148" spans="1:10" ht="24" x14ac:dyDescent="0.2">
      <c r="A148" s="70" t="s">
        <v>22</v>
      </c>
      <c r="B148" s="70" t="s">
        <v>661</v>
      </c>
      <c r="C148" s="70" t="s">
        <v>662</v>
      </c>
      <c r="D148" s="72" t="s">
        <v>663</v>
      </c>
      <c r="E148" s="71" t="s">
        <v>91</v>
      </c>
      <c r="F148" s="76" t="s">
        <v>402</v>
      </c>
      <c r="G148" s="87" t="s">
        <v>660</v>
      </c>
      <c r="H148" s="70" t="s">
        <v>370</v>
      </c>
      <c r="I148" s="132">
        <f>VLOOKUP(H148,Dados!$B$2:$C$53,2,0)</f>
        <v>13</v>
      </c>
      <c r="J148" s="112">
        <f>VLOOKUP(H148,Dados!$B$2:$E$53,4,0)</f>
        <v>100</v>
      </c>
    </row>
    <row r="149" spans="1:10" ht="168" x14ac:dyDescent="0.2">
      <c r="A149" s="70" t="s">
        <v>10</v>
      </c>
      <c r="B149" s="70" t="s">
        <v>666</v>
      </c>
      <c r="C149" s="70" t="s">
        <v>667</v>
      </c>
      <c r="D149" s="72" t="s">
        <v>1165</v>
      </c>
      <c r="E149" s="71" t="s">
        <v>127</v>
      </c>
      <c r="F149" s="76" t="s">
        <v>380</v>
      </c>
      <c r="G149" s="87" t="s">
        <v>1172</v>
      </c>
      <c r="H149" s="70" t="s">
        <v>370</v>
      </c>
      <c r="I149" s="132">
        <f>VLOOKUP(H149,Dados!$B$2:$C$53,2,0)</f>
        <v>13</v>
      </c>
      <c r="J149" s="112">
        <f>VLOOKUP(H149,Dados!$B$2:$E$53,4,0)</f>
        <v>100</v>
      </c>
    </row>
    <row r="150" spans="1:10" ht="36" x14ac:dyDescent="0.2">
      <c r="A150" s="70" t="s">
        <v>17</v>
      </c>
      <c r="B150" s="70" t="s">
        <v>309</v>
      </c>
      <c r="C150" s="70" t="s">
        <v>140</v>
      </c>
      <c r="D150" s="72" t="s">
        <v>310</v>
      </c>
      <c r="E150" s="71" t="s">
        <v>112</v>
      </c>
      <c r="F150" s="76" t="s">
        <v>381</v>
      </c>
      <c r="G150" s="87" t="s">
        <v>1185</v>
      </c>
      <c r="H150" s="70" t="s">
        <v>388</v>
      </c>
      <c r="I150" s="132">
        <f>VLOOKUP(H150,Dados!$B$2:$C$53,2,0)</f>
        <v>8</v>
      </c>
      <c r="J150" s="112">
        <f>VLOOKUP(H150,Dados!$B$2:$E$53,4,0)</f>
        <v>60</v>
      </c>
    </row>
    <row r="151" spans="1:10" ht="24" x14ac:dyDescent="0.2">
      <c r="A151" s="70" t="s">
        <v>22</v>
      </c>
      <c r="B151" s="70" t="s">
        <v>680</v>
      </c>
      <c r="C151" s="70" t="s">
        <v>340</v>
      </c>
      <c r="D151" s="72" t="s">
        <v>681</v>
      </c>
      <c r="E151" s="71" t="s">
        <v>9</v>
      </c>
      <c r="F151" s="76" t="s">
        <v>402</v>
      </c>
      <c r="G151" s="87" t="s">
        <v>668</v>
      </c>
      <c r="H151" s="70" t="s">
        <v>370</v>
      </c>
      <c r="I151" s="132">
        <f>VLOOKUP(H151,Dados!$B$2:$C$53,2,0)</f>
        <v>13</v>
      </c>
      <c r="J151" s="112">
        <f>VLOOKUP(H151,Dados!$B$2:$E$53,4,0)</f>
        <v>100</v>
      </c>
    </row>
    <row r="152" spans="1:10" ht="72" x14ac:dyDescent="0.2">
      <c r="A152" s="70" t="s">
        <v>17</v>
      </c>
      <c r="B152" s="70" t="s">
        <v>683</v>
      </c>
      <c r="C152" s="70" t="s">
        <v>684</v>
      </c>
      <c r="D152" s="72" t="s">
        <v>1169</v>
      </c>
      <c r="E152" s="71" t="s">
        <v>16</v>
      </c>
      <c r="F152" s="76" t="s">
        <v>401</v>
      </c>
      <c r="G152" s="87" t="s">
        <v>1174</v>
      </c>
      <c r="H152" s="70" t="s">
        <v>370</v>
      </c>
      <c r="I152" s="132">
        <f>VLOOKUP(H152,Dados!$B$2:$C$53,2,0)</f>
        <v>13</v>
      </c>
      <c r="J152" s="112">
        <f>VLOOKUP(H152,Dados!$B$2:$E$53,4,0)</f>
        <v>100</v>
      </c>
    </row>
    <row r="153" spans="1:10" ht="36" x14ac:dyDescent="0.2">
      <c r="A153" s="70" t="s">
        <v>22</v>
      </c>
      <c r="B153" s="70" t="s">
        <v>685</v>
      </c>
      <c r="C153" s="70" t="s">
        <v>686</v>
      </c>
      <c r="D153" s="72" t="s">
        <v>687</v>
      </c>
      <c r="E153" s="71" t="s">
        <v>77</v>
      </c>
      <c r="F153" s="76" t="s">
        <v>402</v>
      </c>
      <c r="G153" s="87" t="s">
        <v>688</v>
      </c>
      <c r="H153" s="70" t="s">
        <v>370</v>
      </c>
      <c r="I153" s="132">
        <f>VLOOKUP(H153,Dados!$B$2:$C$53,2,0)</f>
        <v>13</v>
      </c>
      <c r="J153" s="112">
        <f>VLOOKUP(H153,Dados!$B$2:$E$53,4,0)</f>
        <v>100</v>
      </c>
    </row>
    <row r="154" spans="1:10" ht="24" x14ac:dyDescent="0.2">
      <c r="A154" s="70" t="s">
        <v>22</v>
      </c>
      <c r="B154" s="70" t="s">
        <v>689</v>
      </c>
      <c r="C154" s="70" t="s">
        <v>662</v>
      </c>
      <c r="D154" s="72" t="s">
        <v>690</v>
      </c>
      <c r="E154" s="71" t="s">
        <v>91</v>
      </c>
      <c r="F154" s="76" t="s">
        <v>402</v>
      </c>
      <c r="G154" s="87" t="s">
        <v>688</v>
      </c>
      <c r="H154" s="70" t="s">
        <v>370</v>
      </c>
      <c r="I154" s="132">
        <f>VLOOKUP(H154,Dados!$B$2:$C$53,2,0)</f>
        <v>13</v>
      </c>
      <c r="J154" s="112">
        <f>VLOOKUP(H154,Dados!$B$2:$E$53,4,0)</f>
        <v>100</v>
      </c>
    </row>
    <row r="155" spans="1:10" ht="24" x14ac:dyDescent="0.2">
      <c r="A155" s="70" t="s">
        <v>22</v>
      </c>
      <c r="B155" s="70" t="s">
        <v>691</v>
      </c>
      <c r="C155" s="70" t="s">
        <v>662</v>
      </c>
      <c r="D155" s="72" t="s">
        <v>692</v>
      </c>
      <c r="E155" s="71" t="s">
        <v>91</v>
      </c>
      <c r="F155" s="76" t="s">
        <v>402</v>
      </c>
      <c r="G155" s="87" t="s">
        <v>688</v>
      </c>
      <c r="H155" s="70" t="s">
        <v>370</v>
      </c>
      <c r="I155" s="132">
        <f>VLOOKUP(H155,Dados!$B$2:$C$53,2,0)</f>
        <v>13</v>
      </c>
      <c r="J155" s="112">
        <f>VLOOKUP(H155,Dados!$B$2:$E$53,4,0)</f>
        <v>100</v>
      </c>
    </row>
    <row r="156" spans="1:10" ht="120" x14ac:dyDescent="0.2">
      <c r="A156" s="70" t="s">
        <v>39</v>
      </c>
      <c r="B156" s="70" t="s">
        <v>309</v>
      </c>
      <c r="C156" s="70" t="s">
        <v>140</v>
      </c>
      <c r="D156" s="72" t="s">
        <v>475</v>
      </c>
      <c r="E156" s="71" t="s">
        <v>112</v>
      </c>
      <c r="F156" s="76" t="s">
        <v>381</v>
      </c>
      <c r="G156" s="87" t="s">
        <v>1226</v>
      </c>
      <c r="H156" s="70" t="s">
        <v>629</v>
      </c>
      <c r="I156" s="132">
        <f>VLOOKUP(H156,Dados!$B$2:$C$53,2,0)</f>
        <v>4</v>
      </c>
      <c r="J156" s="112">
        <f>VLOOKUP(H156,Dados!$B$2:$E$53,4,0)</f>
        <v>20</v>
      </c>
    </row>
    <row r="157" spans="1:10" ht="96" x14ac:dyDescent="0.2">
      <c r="A157" s="70" t="s">
        <v>58</v>
      </c>
      <c r="B157" s="70" t="s">
        <v>696</v>
      </c>
      <c r="C157" s="70" t="s">
        <v>84</v>
      </c>
      <c r="D157" s="72" t="s">
        <v>1091</v>
      </c>
      <c r="E157" s="71" t="s">
        <v>43</v>
      </c>
      <c r="F157" s="76" t="s">
        <v>380</v>
      </c>
      <c r="G157" s="87" t="s">
        <v>1149</v>
      </c>
      <c r="H157" s="70" t="s">
        <v>370</v>
      </c>
      <c r="I157" s="132">
        <f>VLOOKUP(H157,Dados!$B$2:$C$53,2,0)</f>
        <v>13</v>
      </c>
      <c r="J157" s="112">
        <f>VLOOKUP(H157,Dados!$B$2:$E$53,4,0)</f>
        <v>100</v>
      </c>
    </row>
    <row r="158" spans="1:10" ht="36" x14ac:dyDescent="0.2">
      <c r="A158" s="70" t="s">
        <v>58</v>
      </c>
      <c r="B158" s="70"/>
      <c r="C158" s="70" t="s">
        <v>84</v>
      </c>
      <c r="D158" s="72" t="s">
        <v>523</v>
      </c>
      <c r="E158" s="71" t="s">
        <v>210</v>
      </c>
      <c r="F158" s="76" t="s">
        <v>381</v>
      </c>
      <c r="G158" s="87" t="s">
        <v>1044</v>
      </c>
      <c r="H158" s="70" t="s">
        <v>370</v>
      </c>
      <c r="I158" s="132">
        <f>VLOOKUP(H158,Dados!$B$2:$C$53,2,0)</f>
        <v>13</v>
      </c>
      <c r="J158" s="112">
        <f>VLOOKUP(H158,Dados!$B$2:$E$53,4,0)</f>
        <v>100</v>
      </c>
    </row>
    <row r="159" spans="1:10" ht="120" x14ac:dyDescent="0.2">
      <c r="A159" s="70" t="s">
        <v>17</v>
      </c>
      <c r="B159" s="70" t="s">
        <v>701</v>
      </c>
      <c r="C159" s="70" t="s">
        <v>702</v>
      </c>
      <c r="D159" s="72" t="s">
        <v>1106</v>
      </c>
      <c r="E159" s="71" t="s">
        <v>38</v>
      </c>
      <c r="F159" s="76" t="s">
        <v>380</v>
      </c>
      <c r="G159" s="87" t="s">
        <v>1108</v>
      </c>
      <c r="H159" s="70" t="s">
        <v>370</v>
      </c>
      <c r="I159" s="132">
        <f>VLOOKUP(H159,Dados!$B$2:$C$53,2,0)</f>
        <v>13</v>
      </c>
      <c r="J159" s="112">
        <f>VLOOKUP(H159,Dados!$B$2:$E$53,4,0)</f>
        <v>100</v>
      </c>
    </row>
    <row r="160" spans="1:10" ht="156" x14ac:dyDescent="0.2">
      <c r="A160" s="70" t="s">
        <v>39</v>
      </c>
      <c r="B160" s="70" t="s">
        <v>549</v>
      </c>
      <c r="C160" s="70" t="s">
        <v>84</v>
      </c>
      <c r="D160" s="72" t="s">
        <v>1148</v>
      </c>
      <c r="E160" s="71" t="s">
        <v>548</v>
      </c>
      <c r="F160" s="76" t="s">
        <v>380</v>
      </c>
      <c r="G160" s="87" t="s">
        <v>1150</v>
      </c>
      <c r="H160" s="70" t="s">
        <v>370</v>
      </c>
      <c r="I160" s="132">
        <f>VLOOKUP(H160,Dados!$B$2:$C$53,2,0)</f>
        <v>13</v>
      </c>
      <c r="J160" s="112">
        <f>VLOOKUP(H160,Dados!$B$2:$E$53,4,0)</f>
        <v>100</v>
      </c>
    </row>
    <row r="161" spans="1:11" ht="24" x14ac:dyDescent="0.2">
      <c r="A161" s="70" t="s">
        <v>22</v>
      </c>
      <c r="B161" s="70" t="s">
        <v>711</v>
      </c>
      <c r="C161" s="70" t="s">
        <v>712</v>
      </c>
      <c r="D161" s="72" t="s">
        <v>713</v>
      </c>
      <c r="E161" s="71" t="s">
        <v>714</v>
      </c>
      <c r="F161" s="76" t="s">
        <v>402</v>
      </c>
      <c r="G161" s="87" t="s">
        <v>707</v>
      </c>
      <c r="H161" s="70" t="s">
        <v>370</v>
      </c>
      <c r="I161" s="132">
        <f>VLOOKUP(H161,Dados!$B$2:$C$53,2,0)</f>
        <v>13</v>
      </c>
      <c r="J161" s="112">
        <f>VLOOKUP(H161,Dados!$B$2:$E$53,4,0)</f>
        <v>100</v>
      </c>
    </row>
    <row r="162" spans="1:11" ht="24" x14ac:dyDescent="0.2">
      <c r="A162" s="70" t="s">
        <v>22</v>
      </c>
      <c r="B162" s="70" t="s">
        <v>715</v>
      </c>
      <c r="C162" s="70" t="s">
        <v>716</v>
      </c>
      <c r="D162" s="72" t="s">
        <v>717</v>
      </c>
      <c r="E162" s="71" t="s">
        <v>32</v>
      </c>
      <c r="F162" s="76" t="s">
        <v>402</v>
      </c>
      <c r="G162" s="87" t="s">
        <v>707</v>
      </c>
      <c r="H162" s="70" t="s">
        <v>370</v>
      </c>
      <c r="I162" s="132">
        <f>VLOOKUP(H162,Dados!$B$2:$C$53,2,0)</f>
        <v>13</v>
      </c>
      <c r="J162" s="112">
        <f>VLOOKUP(H162,Dados!$B$2:$E$53,4,0)</f>
        <v>100</v>
      </c>
    </row>
    <row r="163" spans="1:11" ht="24" x14ac:dyDescent="0.2">
      <c r="A163" s="70" t="s">
        <v>22</v>
      </c>
      <c r="B163" s="70" t="s">
        <v>718</v>
      </c>
      <c r="C163" s="70" t="s">
        <v>719</v>
      </c>
      <c r="D163" s="72" t="s">
        <v>720</v>
      </c>
      <c r="E163" s="71" t="s">
        <v>222</v>
      </c>
      <c r="F163" s="76" t="s">
        <v>402</v>
      </c>
      <c r="G163" s="87" t="s">
        <v>707</v>
      </c>
      <c r="H163" s="70" t="s">
        <v>370</v>
      </c>
      <c r="I163" s="132">
        <f>VLOOKUP(H163,Dados!$B$2:$C$53,2,0)</f>
        <v>13</v>
      </c>
      <c r="J163" s="112">
        <f>VLOOKUP(H163,Dados!$B$2:$E$53,4,0)</f>
        <v>100</v>
      </c>
    </row>
    <row r="164" spans="1:11" ht="60" x14ac:dyDescent="0.2">
      <c r="A164" s="70" t="s">
        <v>10</v>
      </c>
      <c r="B164" s="70" t="s">
        <v>722</v>
      </c>
      <c r="C164" s="70" t="s">
        <v>723</v>
      </c>
      <c r="D164" s="72" t="s">
        <v>721</v>
      </c>
      <c r="E164" s="71" t="s">
        <v>86</v>
      </c>
      <c r="F164" s="76" t="s">
        <v>401</v>
      </c>
      <c r="G164" s="87" t="s">
        <v>903</v>
      </c>
      <c r="H164" s="70" t="s">
        <v>370</v>
      </c>
      <c r="J164" s="112">
        <f>VLOOKUP(H164,Dados!$B$2:$E$53,4,0)</f>
        <v>100</v>
      </c>
      <c r="K164" s="134">
        <f>VLOOKUP(H164,Dados!$B$2:$C$53,2,0)</f>
        <v>13</v>
      </c>
    </row>
    <row r="165" spans="1:11" ht="24" x14ac:dyDescent="0.2">
      <c r="A165" s="70" t="s">
        <v>22</v>
      </c>
      <c r="B165" s="70" t="s">
        <v>724</v>
      </c>
      <c r="C165" s="70" t="s">
        <v>725</v>
      </c>
      <c r="D165" s="72" t="s">
        <v>726</v>
      </c>
      <c r="E165" s="71" t="s">
        <v>304</v>
      </c>
      <c r="F165" s="76" t="s">
        <v>402</v>
      </c>
      <c r="G165" s="87" t="s">
        <v>707</v>
      </c>
      <c r="H165" s="70" t="s">
        <v>370</v>
      </c>
      <c r="I165" s="132">
        <f>VLOOKUP(H165,Dados!$B$2:$C$53,2,0)</f>
        <v>13</v>
      </c>
      <c r="J165" s="112">
        <f>VLOOKUP(H165,Dados!$B$2:$E$53,4,0)</f>
        <v>100</v>
      </c>
    </row>
    <row r="166" spans="1:11" ht="96" x14ac:dyDescent="0.2">
      <c r="A166" s="70" t="s">
        <v>58</v>
      </c>
      <c r="B166" s="70" t="s">
        <v>728</v>
      </c>
      <c r="C166" s="70" t="s">
        <v>729</v>
      </c>
      <c r="D166" s="72" t="s">
        <v>976</v>
      </c>
      <c r="E166" s="71" t="s">
        <v>155</v>
      </c>
      <c r="F166" s="76" t="s">
        <v>401</v>
      </c>
      <c r="G166" s="87" t="s">
        <v>977</v>
      </c>
      <c r="H166" s="70" t="s">
        <v>370</v>
      </c>
      <c r="I166" s="132">
        <f>VLOOKUP(H166,Dados!$B$2:$C$53,2,0)</f>
        <v>13</v>
      </c>
      <c r="J166" s="112">
        <f>VLOOKUP(H166,Dados!$B$2:$E$53,4,0)</f>
        <v>100</v>
      </c>
    </row>
    <row r="167" spans="1:11" ht="24" x14ac:dyDescent="0.2">
      <c r="A167" s="70" t="s">
        <v>22</v>
      </c>
      <c r="B167" s="70" t="s">
        <v>501</v>
      </c>
      <c r="C167" s="70" t="s">
        <v>502</v>
      </c>
      <c r="D167" s="72" t="s">
        <v>734</v>
      </c>
      <c r="E167" s="71" t="s">
        <v>32</v>
      </c>
      <c r="F167" s="76" t="s">
        <v>402</v>
      </c>
      <c r="G167" s="87" t="s">
        <v>735</v>
      </c>
      <c r="H167" s="70" t="s">
        <v>370</v>
      </c>
      <c r="I167" s="132">
        <f>VLOOKUP(H167,Dados!$B$2:$C$53,2,0)</f>
        <v>13</v>
      </c>
      <c r="J167" s="112">
        <f>VLOOKUP(H167,Dados!$B$2:$E$53,4,0)</f>
        <v>100</v>
      </c>
    </row>
    <row r="168" spans="1:11" ht="156" x14ac:dyDescent="0.2">
      <c r="A168" s="70" t="s">
        <v>10</v>
      </c>
      <c r="B168" s="70" t="s">
        <v>737</v>
      </c>
      <c r="C168" s="70" t="s">
        <v>70</v>
      </c>
      <c r="D168" s="72" t="s">
        <v>355</v>
      </c>
      <c r="E168" s="71" t="s">
        <v>86</v>
      </c>
      <c r="F168" s="76" t="s">
        <v>380</v>
      </c>
      <c r="G168" s="87" t="s">
        <v>1238</v>
      </c>
      <c r="H168" s="70" t="s">
        <v>370</v>
      </c>
      <c r="I168" s="132">
        <f>VLOOKUP(H168,Dados!$B$2:$C$53,2,0)</f>
        <v>13</v>
      </c>
      <c r="J168" s="112">
        <f>VLOOKUP(H168,Dados!$B$2:$E$53,4,0)</f>
        <v>100</v>
      </c>
    </row>
    <row r="169" spans="1:11" ht="132" x14ac:dyDescent="0.2">
      <c r="A169" s="70" t="s">
        <v>58</v>
      </c>
      <c r="B169" s="70" t="s">
        <v>744</v>
      </c>
      <c r="C169" s="70" t="s">
        <v>84</v>
      </c>
      <c r="D169" s="72" t="s">
        <v>1236</v>
      </c>
      <c r="E169" s="71" t="s">
        <v>267</v>
      </c>
      <c r="F169" s="76" t="s">
        <v>380</v>
      </c>
      <c r="G169" s="87" t="s">
        <v>1237</v>
      </c>
      <c r="H169" s="70" t="s">
        <v>369</v>
      </c>
      <c r="I169" s="132">
        <f>VLOOKUP(H169,Dados!$B$2:$C$53,2,0)</f>
        <v>12</v>
      </c>
      <c r="J169" s="112">
        <f>VLOOKUP(H169,Dados!$B$2:$E$53,4,0)</f>
        <v>95</v>
      </c>
    </row>
    <row r="170" spans="1:11" ht="24" x14ac:dyDescent="0.2">
      <c r="A170" s="70" t="s">
        <v>22</v>
      </c>
      <c r="B170" s="70" t="s">
        <v>746</v>
      </c>
      <c r="C170" s="70" t="s">
        <v>505</v>
      </c>
      <c r="D170" s="72" t="s">
        <v>747</v>
      </c>
      <c r="E170" s="71" t="s">
        <v>155</v>
      </c>
      <c r="F170" s="76" t="s">
        <v>402</v>
      </c>
      <c r="G170" s="87" t="s">
        <v>745</v>
      </c>
      <c r="H170" s="70" t="s">
        <v>370</v>
      </c>
      <c r="I170" s="132">
        <f>VLOOKUP(H170,Dados!$B$2:$C$53,2,0)</f>
        <v>13</v>
      </c>
      <c r="J170" s="112">
        <f>VLOOKUP(H170,Dados!$B$2:$E$53,4,0)</f>
        <v>100</v>
      </c>
    </row>
    <row r="171" spans="1:11" ht="24" x14ac:dyDescent="0.2">
      <c r="A171" s="70" t="s">
        <v>22</v>
      </c>
      <c r="B171" s="70" t="s">
        <v>749</v>
      </c>
      <c r="C171" s="70" t="s">
        <v>750</v>
      </c>
      <c r="D171" s="72" t="s">
        <v>751</v>
      </c>
      <c r="E171" s="71" t="s">
        <v>626</v>
      </c>
      <c r="F171" s="76" t="s">
        <v>402</v>
      </c>
      <c r="G171" s="87" t="s">
        <v>745</v>
      </c>
      <c r="H171" s="70" t="s">
        <v>370</v>
      </c>
      <c r="I171" s="132">
        <f>VLOOKUP(H171,Dados!$B$2:$C$53,2,0)</f>
        <v>13</v>
      </c>
      <c r="J171" s="112">
        <f>VLOOKUP(H171,Dados!$B$2:$E$53,4,0)</f>
        <v>100</v>
      </c>
    </row>
    <row r="172" spans="1:11" ht="36" x14ac:dyDescent="0.2">
      <c r="A172" s="70" t="s">
        <v>17</v>
      </c>
      <c r="B172" s="70" t="s">
        <v>95</v>
      </c>
      <c r="C172" s="70" t="s">
        <v>753</v>
      </c>
      <c r="D172" s="72" t="s">
        <v>97</v>
      </c>
      <c r="E172" s="71" t="s">
        <v>86</v>
      </c>
      <c r="F172" s="76" t="s">
        <v>381</v>
      </c>
      <c r="G172" s="87" t="s">
        <v>1031</v>
      </c>
      <c r="H172" s="70" t="s">
        <v>370</v>
      </c>
      <c r="I172" s="132">
        <f>VLOOKUP(H172,Dados!$B$2:$C$53,2,0)</f>
        <v>13</v>
      </c>
      <c r="J172" s="112">
        <f>VLOOKUP(H172,Dados!$B$2:$E$53,4,0)</f>
        <v>100</v>
      </c>
    </row>
    <row r="173" spans="1:11" ht="120" x14ac:dyDescent="0.2">
      <c r="A173" s="70" t="s">
        <v>17</v>
      </c>
      <c r="B173" s="70" t="s">
        <v>757</v>
      </c>
      <c r="C173" s="70" t="s">
        <v>255</v>
      </c>
      <c r="D173" s="72" t="s">
        <v>1229</v>
      </c>
      <c r="E173" s="71" t="s">
        <v>53</v>
      </c>
      <c r="F173" s="76" t="s">
        <v>401</v>
      </c>
      <c r="G173" s="87" t="s">
        <v>1230</v>
      </c>
      <c r="H173" s="70" t="s">
        <v>370</v>
      </c>
      <c r="I173" s="132">
        <f>VLOOKUP(H173,Dados!$B$2:$C$53,2,0)</f>
        <v>13</v>
      </c>
      <c r="J173" s="112">
        <f>VLOOKUP(H173,Dados!$B$2:$E$53,4,0)</f>
        <v>100</v>
      </c>
    </row>
    <row r="174" spans="1:11" ht="108" x14ac:dyDescent="0.2">
      <c r="A174" s="70" t="s">
        <v>17</v>
      </c>
      <c r="B174" s="70" t="s">
        <v>767</v>
      </c>
      <c r="C174" s="70" t="s">
        <v>231</v>
      </c>
      <c r="D174" s="72" t="s">
        <v>762</v>
      </c>
      <c r="E174" s="71" t="s">
        <v>16</v>
      </c>
      <c r="F174" s="76" t="s">
        <v>380</v>
      </c>
      <c r="G174" s="87" t="s">
        <v>924</v>
      </c>
      <c r="H174" s="70" t="s">
        <v>366</v>
      </c>
      <c r="I174" s="132">
        <f>VLOOKUP(H174,Dados!$B$2:$C$53,2,0)</f>
        <v>7</v>
      </c>
      <c r="J174" s="112">
        <f>VLOOKUP(H174,Dados!$B$2:$E$53,4,0)</f>
        <v>50</v>
      </c>
    </row>
    <row r="175" spans="1:11" ht="36" x14ac:dyDescent="0.2">
      <c r="A175" s="70" t="s">
        <v>39</v>
      </c>
      <c r="B175" s="70" t="s">
        <v>792</v>
      </c>
      <c r="C175" s="70" t="s">
        <v>793</v>
      </c>
      <c r="D175" s="72" t="s">
        <v>794</v>
      </c>
      <c r="E175" s="71" t="s">
        <v>91</v>
      </c>
      <c r="F175" s="76" t="s">
        <v>402</v>
      </c>
      <c r="G175" s="87" t="s">
        <v>795</v>
      </c>
      <c r="H175" s="70" t="s">
        <v>370</v>
      </c>
      <c r="I175" s="132">
        <f>VLOOKUP(H175,Dados!$B$2:$C$53,2,0)</f>
        <v>13</v>
      </c>
      <c r="J175" s="112">
        <f>VLOOKUP(H175,Dados!$B$2:$E$53,4,0)</f>
        <v>100</v>
      </c>
    </row>
    <row r="176" spans="1:11" ht="24" x14ac:dyDescent="0.2">
      <c r="A176" s="70" t="s">
        <v>39</v>
      </c>
      <c r="B176" s="70" t="s">
        <v>283</v>
      </c>
      <c r="C176" s="70" t="s">
        <v>796</v>
      </c>
      <c r="D176" s="72" t="s">
        <v>797</v>
      </c>
      <c r="E176" s="71" t="s">
        <v>91</v>
      </c>
      <c r="F176" s="76" t="s">
        <v>402</v>
      </c>
      <c r="G176" s="87" t="s">
        <v>795</v>
      </c>
      <c r="H176" s="70" t="s">
        <v>387</v>
      </c>
      <c r="I176" s="132">
        <f>VLOOKUP(H176,Dados!$B$2:$C$53,2,0)</f>
        <v>10</v>
      </c>
      <c r="J176" s="112">
        <f>VLOOKUP(H176,Dados!$B$2:$E$53,4,0)</f>
        <v>80</v>
      </c>
    </row>
    <row r="177" spans="1:10" ht="24" x14ac:dyDescent="0.2">
      <c r="A177" s="70" t="s">
        <v>39</v>
      </c>
      <c r="B177" s="70" t="s">
        <v>798</v>
      </c>
      <c r="C177" s="70" t="s">
        <v>799</v>
      </c>
      <c r="D177" s="72" t="s">
        <v>800</v>
      </c>
      <c r="E177" s="71" t="s">
        <v>179</v>
      </c>
      <c r="F177" s="76" t="s">
        <v>402</v>
      </c>
      <c r="G177" s="87" t="s">
        <v>795</v>
      </c>
      <c r="H177" s="70" t="s">
        <v>370</v>
      </c>
      <c r="I177" s="132">
        <f>VLOOKUP(H177,Dados!$B$2:$C$53,2,0)</f>
        <v>13</v>
      </c>
      <c r="J177" s="112">
        <f>VLOOKUP(H177,Dados!$B$2:$E$53,4,0)</f>
        <v>100</v>
      </c>
    </row>
    <row r="178" spans="1:10" ht="36" x14ac:dyDescent="0.2">
      <c r="A178" s="70" t="s">
        <v>39</v>
      </c>
      <c r="B178" s="70" t="s">
        <v>801</v>
      </c>
      <c r="C178" s="70" t="s">
        <v>802</v>
      </c>
      <c r="D178" s="72" t="s">
        <v>803</v>
      </c>
      <c r="E178" s="71" t="s">
        <v>164</v>
      </c>
      <c r="F178" s="76" t="s">
        <v>402</v>
      </c>
      <c r="G178" s="87" t="s">
        <v>795</v>
      </c>
      <c r="H178" s="70" t="s">
        <v>370</v>
      </c>
      <c r="I178" s="132">
        <f>VLOOKUP(H178,Dados!$B$2:$C$53,2,0)</f>
        <v>13</v>
      </c>
      <c r="J178" s="112">
        <f>VLOOKUP(H178,Dados!$B$2:$E$53,4,0)</f>
        <v>100</v>
      </c>
    </row>
    <row r="179" spans="1:10" ht="144" x14ac:dyDescent="0.2">
      <c r="A179" s="70" t="s">
        <v>10</v>
      </c>
      <c r="B179" s="70" t="s">
        <v>805</v>
      </c>
      <c r="C179" s="70" t="s">
        <v>806</v>
      </c>
      <c r="D179" s="72" t="s">
        <v>804</v>
      </c>
      <c r="E179" s="71" t="s">
        <v>91</v>
      </c>
      <c r="F179" s="76" t="s">
        <v>382</v>
      </c>
      <c r="G179" s="87" t="s">
        <v>1107</v>
      </c>
      <c r="H179" s="70" t="s">
        <v>370</v>
      </c>
      <c r="I179" s="132">
        <f>VLOOKUP(H179,Dados!$B$2:$C$53,2,0)</f>
        <v>13</v>
      </c>
      <c r="J179" s="112">
        <f>VLOOKUP(H179,Dados!$B$2:$E$53,4,0)</f>
        <v>100</v>
      </c>
    </row>
    <row r="180" spans="1:10" ht="24" x14ac:dyDescent="0.2">
      <c r="A180" s="70" t="s">
        <v>39</v>
      </c>
      <c r="B180" s="70" t="s">
        <v>817</v>
      </c>
      <c r="C180" s="70" t="s">
        <v>818</v>
      </c>
      <c r="D180" s="72" t="s">
        <v>819</v>
      </c>
      <c r="E180" s="71" t="s">
        <v>164</v>
      </c>
      <c r="F180" s="76" t="s">
        <v>402</v>
      </c>
      <c r="G180" s="87" t="s">
        <v>820</v>
      </c>
      <c r="H180" s="70" t="s">
        <v>370</v>
      </c>
      <c r="I180" s="132">
        <f>VLOOKUP(H180,Dados!$B$2:$C$53,2,0)</f>
        <v>13</v>
      </c>
      <c r="J180" s="112">
        <f>VLOOKUP(H180,Dados!$B$2:$E$53,4,0)</f>
        <v>100</v>
      </c>
    </row>
    <row r="181" spans="1:10" ht="72" x14ac:dyDescent="0.2">
      <c r="A181" s="70" t="s">
        <v>10</v>
      </c>
      <c r="B181" s="70" t="s">
        <v>822</v>
      </c>
      <c r="C181" s="70" t="s">
        <v>823</v>
      </c>
      <c r="D181" s="72" t="s">
        <v>884</v>
      </c>
      <c r="E181" s="71" t="s">
        <v>67</v>
      </c>
      <c r="F181" s="76" t="s">
        <v>401</v>
      </c>
      <c r="G181" s="87" t="s">
        <v>918</v>
      </c>
      <c r="H181" s="70" t="s">
        <v>370</v>
      </c>
      <c r="I181" s="132">
        <f>VLOOKUP(H181,Dados!$B$2:$C$53,2,0)</f>
        <v>13</v>
      </c>
      <c r="J181" s="112">
        <f>VLOOKUP(H181,Dados!$B$2:$E$53,4,0)</f>
        <v>100</v>
      </c>
    </row>
    <row r="182" spans="1:10" ht="24" x14ac:dyDescent="0.2">
      <c r="A182" s="70" t="s">
        <v>39</v>
      </c>
      <c r="B182" s="70" t="s">
        <v>824</v>
      </c>
      <c r="C182" s="70" t="s">
        <v>825</v>
      </c>
      <c r="D182" s="72" t="s">
        <v>826</v>
      </c>
      <c r="E182" s="71" t="s">
        <v>77</v>
      </c>
      <c r="F182" s="76" t="s">
        <v>402</v>
      </c>
      <c r="G182" s="87" t="s">
        <v>820</v>
      </c>
      <c r="H182" s="70" t="s">
        <v>370</v>
      </c>
      <c r="I182" s="132">
        <f>VLOOKUP(H182,Dados!$B$2:$C$53,2,0)</f>
        <v>13</v>
      </c>
      <c r="J182" s="112">
        <f>VLOOKUP(H182,Dados!$B$2:$E$53,4,0)</f>
        <v>100</v>
      </c>
    </row>
    <row r="183" spans="1:10" ht="120" x14ac:dyDescent="0.2">
      <c r="A183" s="70" t="s">
        <v>39</v>
      </c>
      <c r="B183" s="70" t="s">
        <v>325</v>
      </c>
      <c r="C183" s="70" t="s">
        <v>837</v>
      </c>
      <c r="D183" s="72" t="s">
        <v>327</v>
      </c>
      <c r="E183" s="71" t="s">
        <v>132</v>
      </c>
      <c r="F183" s="76" t="s">
        <v>380</v>
      </c>
      <c r="G183" s="87" t="s">
        <v>1231</v>
      </c>
      <c r="H183" s="70" t="s">
        <v>370</v>
      </c>
      <c r="I183" s="132">
        <f>VLOOKUP(H183,Dados!$B$2:$C$53,2,0)</f>
        <v>13</v>
      </c>
      <c r="J183" s="112">
        <f>VLOOKUP(H183,Dados!$B$2:$E$53,4,0)</f>
        <v>100</v>
      </c>
    </row>
    <row r="184" spans="1:10" ht="60" x14ac:dyDescent="0.2">
      <c r="A184" s="70" t="s">
        <v>58</v>
      </c>
      <c r="B184" s="70" t="s">
        <v>840</v>
      </c>
      <c r="C184" s="70" t="s">
        <v>841</v>
      </c>
      <c r="D184" s="72" t="s">
        <v>838</v>
      </c>
      <c r="E184" s="71" t="s">
        <v>32</v>
      </c>
      <c r="F184" s="76" t="s">
        <v>401</v>
      </c>
      <c r="G184" s="87" t="s">
        <v>1276</v>
      </c>
      <c r="H184" s="70" t="s">
        <v>370</v>
      </c>
      <c r="I184" s="132">
        <f>VLOOKUP(H184,Dados!$B$2:$C$53,2,0)</f>
        <v>13</v>
      </c>
      <c r="J184" s="112">
        <f>VLOOKUP(H184,Dados!$B$2:$E$53,4,0)</f>
        <v>100</v>
      </c>
    </row>
    <row r="185" spans="1:10" ht="72" x14ac:dyDescent="0.2">
      <c r="A185" s="70" t="s">
        <v>39</v>
      </c>
      <c r="B185" s="70" t="s">
        <v>844</v>
      </c>
      <c r="C185" s="70" t="s">
        <v>845</v>
      </c>
      <c r="D185" s="72" t="s">
        <v>842</v>
      </c>
      <c r="E185" s="71" t="s">
        <v>112</v>
      </c>
      <c r="F185" s="76" t="s">
        <v>401</v>
      </c>
      <c r="G185" s="87" t="s">
        <v>1010</v>
      </c>
      <c r="H185" s="70" t="s">
        <v>370</v>
      </c>
      <c r="I185" s="132">
        <f>VLOOKUP(H185,Dados!$B$2:$C$53,2,0)</f>
        <v>13</v>
      </c>
      <c r="J185" s="112">
        <f>VLOOKUP(H185,Dados!$B$2:$E$53,4,0)</f>
        <v>100</v>
      </c>
    </row>
    <row r="186" spans="1:10" ht="84" x14ac:dyDescent="0.2">
      <c r="A186" s="70" t="s">
        <v>17</v>
      </c>
      <c r="B186" s="70" t="s">
        <v>846</v>
      </c>
      <c r="C186" s="70" t="s">
        <v>84</v>
      </c>
      <c r="D186" s="72" t="s">
        <v>843</v>
      </c>
      <c r="E186" s="71" t="s">
        <v>53</v>
      </c>
      <c r="F186" s="76" t="s">
        <v>401</v>
      </c>
      <c r="G186" s="87" t="s">
        <v>946</v>
      </c>
      <c r="H186" s="70" t="s">
        <v>370</v>
      </c>
      <c r="I186" s="132">
        <f>VLOOKUP(H186,Dados!$B$2:$C$53,2,0)</f>
        <v>13</v>
      </c>
      <c r="J186" s="112">
        <f>VLOOKUP(H186,Dados!$B$2:$E$53,4,0)</f>
        <v>100</v>
      </c>
    </row>
    <row r="187" spans="1:10" ht="132" x14ac:dyDescent="0.2">
      <c r="A187" s="70" t="s">
        <v>39</v>
      </c>
      <c r="B187" s="70" t="s">
        <v>99</v>
      </c>
      <c r="C187" s="70" t="s">
        <v>140</v>
      </c>
      <c r="D187" s="72" t="s">
        <v>1099</v>
      </c>
      <c r="E187" s="71" t="s">
        <v>102</v>
      </c>
      <c r="F187" s="76" t="s">
        <v>401</v>
      </c>
      <c r="G187" s="87" t="s">
        <v>1171</v>
      </c>
      <c r="H187" s="70" t="s">
        <v>370</v>
      </c>
      <c r="I187" s="132">
        <f>VLOOKUP(H187,Dados!$B$2:$C$53,2,0)</f>
        <v>13</v>
      </c>
      <c r="J187" s="112">
        <f>VLOOKUP(H187,Dados!$B$2:$E$53,4,0)</f>
        <v>100</v>
      </c>
    </row>
    <row r="188" spans="1:10" ht="60" x14ac:dyDescent="0.2">
      <c r="A188" s="70" t="s">
        <v>17</v>
      </c>
      <c r="B188" s="70" t="s">
        <v>14</v>
      </c>
      <c r="C188" s="70" t="s">
        <v>853</v>
      </c>
      <c r="D188" s="72" t="s">
        <v>999</v>
      </c>
      <c r="E188" s="71" t="s">
        <v>16</v>
      </c>
      <c r="F188" s="76" t="s">
        <v>401</v>
      </c>
      <c r="G188" s="87" t="s">
        <v>1009</v>
      </c>
      <c r="H188" s="70" t="s">
        <v>370</v>
      </c>
      <c r="I188" s="132">
        <f>VLOOKUP(H188,Dados!$B$2:$C$53,2,0)</f>
        <v>13</v>
      </c>
      <c r="J188" s="112">
        <f>VLOOKUP(H188,Dados!$B$2:$E$53,4,0)</f>
        <v>100</v>
      </c>
    </row>
    <row r="189" spans="1:10" ht="108" x14ac:dyDescent="0.2">
      <c r="A189" s="70" t="s">
        <v>39</v>
      </c>
      <c r="B189" s="70" t="s">
        <v>854</v>
      </c>
      <c r="C189" s="70" t="s">
        <v>540</v>
      </c>
      <c r="D189" s="72" t="s">
        <v>15</v>
      </c>
      <c r="E189" s="71" t="s">
        <v>16</v>
      </c>
      <c r="F189" s="76" t="s">
        <v>401</v>
      </c>
      <c r="G189" s="87" t="s">
        <v>1151</v>
      </c>
      <c r="H189" s="70" t="s">
        <v>370</v>
      </c>
      <c r="I189" s="132">
        <f>VLOOKUP(H189,Dados!$B$2:$C$53,2,0)</f>
        <v>13</v>
      </c>
      <c r="J189" s="112">
        <f>VLOOKUP(H189,Dados!$B$2:$E$53,4,0)</f>
        <v>100</v>
      </c>
    </row>
    <row r="190" spans="1:10" ht="96" x14ac:dyDescent="0.2">
      <c r="A190" s="70" t="s">
        <v>17</v>
      </c>
      <c r="B190" s="70" t="s">
        <v>476</v>
      </c>
      <c r="C190" s="70" t="s">
        <v>140</v>
      </c>
      <c r="D190" s="72" t="s">
        <v>477</v>
      </c>
      <c r="E190" s="71" t="s">
        <v>155</v>
      </c>
      <c r="F190" s="76" t="s">
        <v>380</v>
      </c>
      <c r="G190" s="87" t="s">
        <v>1223</v>
      </c>
      <c r="H190" s="70" t="s">
        <v>388</v>
      </c>
      <c r="I190" s="132">
        <f>VLOOKUP(H190,Dados!$B$2:$C$53,2,0)</f>
        <v>8</v>
      </c>
      <c r="J190" s="112">
        <f>VLOOKUP(H190,Dados!$B$2:$E$53,4,0)</f>
        <v>60</v>
      </c>
    </row>
    <row r="191" spans="1:10" ht="72" x14ac:dyDescent="0.2">
      <c r="A191" s="70" t="s">
        <v>39</v>
      </c>
      <c r="B191" s="70" t="s">
        <v>744</v>
      </c>
      <c r="C191" s="70" t="s">
        <v>84</v>
      </c>
      <c r="D191" s="72" t="s">
        <v>1236</v>
      </c>
      <c r="E191" s="71" t="s">
        <v>267</v>
      </c>
      <c r="F191" s="76" t="s">
        <v>381</v>
      </c>
      <c r="G191" s="87" t="s">
        <v>1208</v>
      </c>
      <c r="H191" s="70" t="s">
        <v>370</v>
      </c>
      <c r="I191" s="132">
        <f>VLOOKUP(H191,Dados!$B$2:$C$53,2,0)</f>
        <v>13</v>
      </c>
      <c r="J191" s="112">
        <f>VLOOKUP(H191,Dados!$B$2:$E$53,4,0)</f>
        <v>100</v>
      </c>
    </row>
    <row r="192" spans="1:10" ht="24" x14ac:dyDescent="0.2">
      <c r="A192" s="70" t="s">
        <v>22</v>
      </c>
      <c r="B192" s="70" t="s">
        <v>323</v>
      </c>
      <c r="C192" s="70" t="s">
        <v>859</v>
      </c>
      <c r="D192" s="72" t="s">
        <v>432</v>
      </c>
      <c r="E192" s="71" t="s">
        <v>38</v>
      </c>
      <c r="F192" s="76" t="s">
        <v>402</v>
      </c>
      <c r="G192" s="87" t="s">
        <v>883</v>
      </c>
      <c r="H192" s="70" t="s">
        <v>370</v>
      </c>
      <c r="I192" s="132">
        <f>VLOOKUP(H192,Dados!$B$2:$C$53,2,0)</f>
        <v>13</v>
      </c>
      <c r="J192" s="112">
        <f>VLOOKUP(H192,Dados!$B$2:$E$53,4,0)</f>
        <v>100</v>
      </c>
    </row>
    <row r="193" spans="1:10" ht="108" x14ac:dyDescent="0.2">
      <c r="A193" s="70" t="s">
        <v>39</v>
      </c>
      <c r="B193" s="70" t="s">
        <v>23</v>
      </c>
      <c r="C193" s="70" t="s">
        <v>877</v>
      </c>
      <c r="D193" s="72" t="s">
        <v>25</v>
      </c>
      <c r="E193" s="71" t="s">
        <v>16</v>
      </c>
      <c r="F193" s="76" t="s">
        <v>401</v>
      </c>
      <c r="G193" s="87" t="s">
        <v>975</v>
      </c>
      <c r="H193" s="70" t="s">
        <v>370</v>
      </c>
      <c r="I193" s="132">
        <f>VLOOKUP(H193,Dados!$B$2:$C$53,2,0)</f>
        <v>13</v>
      </c>
      <c r="J193" s="112">
        <f>VLOOKUP(H193,Dados!$B$2:$E$53,4,0)</f>
        <v>100</v>
      </c>
    </row>
    <row r="194" spans="1:10" ht="36" x14ac:dyDescent="0.2">
      <c r="A194" s="70" t="s">
        <v>17</v>
      </c>
      <c r="B194" s="70" t="s">
        <v>501</v>
      </c>
      <c r="C194" s="70" t="s">
        <v>879</v>
      </c>
      <c r="D194" s="72" t="s">
        <v>878</v>
      </c>
      <c r="E194" s="71" t="s">
        <v>32</v>
      </c>
      <c r="F194" s="76" t="s">
        <v>401</v>
      </c>
      <c r="G194" s="87" t="s">
        <v>914</v>
      </c>
      <c r="H194" s="70" t="s">
        <v>388</v>
      </c>
      <c r="I194" s="132">
        <f>VLOOKUP(H194,Dados!$B$2:$C$53,2,0)</f>
        <v>8</v>
      </c>
      <c r="J194" s="112">
        <f>VLOOKUP(H194,Dados!$B$2:$E$53,4,0)</f>
        <v>60</v>
      </c>
    </row>
    <row r="195" spans="1:10" ht="24" x14ac:dyDescent="0.2">
      <c r="A195" s="70" t="s">
        <v>22</v>
      </c>
      <c r="B195" s="70" t="s">
        <v>880</v>
      </c>
      <c r="C195" s="70" t="s">
        <v>881</v>
      </c>
      <c r="D195" s="72" t="s">
        <v>882</v>
      </c>
      <c r="E195" s="71" t="s">
        <v>91</v>
      </c>
      <c r="F195" s="76" t="s">
        <v>402</v>
      </c>
      <c r="G195" s="87" t="s">
        <v>894</v>
      </c>
      <c r="H195" s="70" t="s">
        <v>370</v>
      </c>
      <c r="I195" s="132">
        <f>VLOOKUP(H195,Dados!$B$2:$C$53,2,0)</f>
        <v>13</v>
      </c>
      <c r="J195" s="112">
        <f>VLOOKUP(H195,Dados!$B$2:$E$53,4,0)</f>
        <v>100</v>
      </c>
    </row>
    <row r="196" spans="1:10" ht="72" x14ac:dyDescent="0.2">
      <c r="A196" s="70" t="s">
        <v>17</v>
      </c>
      <c r="B196" s="70" t="s">
        <v>898</v>
      </c>
      <c r="C196" s="70" t="s">
        <v>899</v>
      </c>
      <c r="D196" s="72" t="s">
        <v>896</v>
      </c>
      <c r="E196" s="71" t="s">
        <v>548</v>
      </c>
      <c r="F196" s="76" t="s">
        <v>380</v>
      </c>
      <c r="G196" s="87" t="s">
        <v>1333</v>
      </c>
      <c r="H196" s="70" t="s">
        <v>389</v>
      </c>
      <c r="I196" s="132">
        <f>VLOOKUP(H196,Dados!$B$2:$C$53,2,0)</f>
        <v>9</v>
      </c>
      <c r="J196" s="112">
        <f>VLOOKUP(H196,Dados!$B$2:$E$53,4,0)</f>
        <v>70</v>
      </c>
    </row>
    <row r="197" spans="1:10" ht="84" x14ac:dyDescent="0.2">
      <c r="A197" s="70" t="s">
        <v>39</v>
      </c>
      <c r="B197" s="70" t="s">
        <v>901</v>
      </c>
      <c r="C197" s="70" t="s">
        <v>902</v>
      </c>
      <c r="D197" s="72" t="s">
        <v>1170</v>
      </c>
      <c r="E197" s="71" t="s">
        <v>16</v>
      </c>
      <c r="F197" s="76" t="s">
        <v>401</v>
      </c>
      <c r="G197" s="87" t="s">
        <v>1176</v>
      </c>
      <c r="H197" s="70" t="s">
        <v>370</v>
      </c>
      <c r="I197" s="132">
        <f>VLOOKUP(H197,Dados!$B$2:$C$53,2,0)</f>
        <v>13</v>
      </c>
      <c r="J197" s="112">
        <f>VLOOKUP(H197,Dados!$B$2:$E$53,4,0)</f>
        <v>100</v>
      </c>
    </row>
    <row r="198" spans="1:10" ht="60" x14ac:dyDescent="0.2">
      <c r="A198" s="70" t="s">
        <v>39</v>
      </c>
      <c r="B198" s="70" t="s">
        <v>905</v>
      </c>
      <c r="C198" s="70" t="s">
        <v>906</v>
      </c>
      <c r="D198" s="72" t="s">
        <v>904</v>
      </c>
      <c r="E198" s="71" t="s">
        <v>907</v>
      </c>
      <c r="F198" s="76" t="s">
        <v>381</v>
      </c>
      <c r="G198" s="87" t="s">
        <v>912</v>
      </c>
      <c r="H198" s="70" t="s">
        <v>366</v>
      </c>
      <c r="I198" s="132">
        <f>VLOOKUP(H198,Dados!$B$2:$C$53,2,0)</f>
        <v>7</v>
      </c>
      <c r="J198" s="112">
        <f>VLOOKUP(H198,Dados!$B$2:$E$53,4,0)</f>
        <v>50</v>
      </c>
    </row>
    <row r="199" spans="1:10" ht="132" x14ac:dyDescent="0.2">
      <c r="A199" s="70" t="s">
        <v>39</v>
      </c>
      <c r="B199" s="70" t="s">
        <v>910</v>
      </c>
      <c r="C199" s="70" t="s">
        <v>911</v>
      </c>
      <c r="D199" s="72" t="s">
        <v>1209</v>
      </c>
      <c r="E199" s="71" t="s">
        <v>222</v>
      </c>
      <c r="F199" s="76" t="s">
        <v>380</v>
      </c>
      <c r="G199" s="87" t="s">
        <v>1211</v>
      </c>
      <c r="H199" s="70" t="s">
        <v>370</v>
      </c>
      <c r="I199" s="132">
        <f>VLOOKUP(H199,Dados!$B$2:$C$53,2,0)</f>
        <v>13</v>
      </c>
      <c r="J199" s="112">
        <f>VLOOKUP(H199,Dados!$B$2:$E$53,4,0)</f>
        <v>100</v>
      </c>
    </row>
    <row r="200" spans="1:10" ht="120" x14ac:dyDescent="0.2">
      <c r="A200" s="70" t="s">
        <v>17</v>
      </c>
      <c r="B200" s="70" t="s">
        <v>74</v>
      </c>
      <c r="C200" s="70" t="s">
        <v>917</v>
      </c>
      <c r="D200" s="72" t="s">
        <v>76</v>
      </c>
      <c r="E200" s="71" t="s">
        <v>77</v>
      </c>
      <c r="F200" s="76" t="s">
        <v>380</v>
      </c>
      <c r="G200" s="87" t="s">
        <v>1277</v>
      </c>
      <c r="H200" s="70" t="s">
        <v>387</v>
      </c>
      <c r="I200" s="132">
        <f>VLOOKUP(H200,Dados!$B$2:$C$53,2,0)</f>
        <v>10</v>
      </c>
      <c r="J200" s="112">
        <f>VLOOKUP(H200,Dados!$B$2:$E$53,4,0)</f>
        <v>80</v>
      </c>
    </row>
    <row r="201" spans="1:10" ht="24" x14ac:dyDescent="0.2">
      <c r="A201" s="70" t="s">
        <v>22</v>
      </c>
      <c r="B201" s="70" t="s">
        <v>919</v>
      </c>
      <c r="C201" s="70" t="s">
        <v>920</v>
      </c>
      <c r="D201" s="72" t="s">
        <v>921</v>
      </c>
      <c r="E201" s="71" t="s">
        <v>67</v>
      </c>
      <c r="F201" s="76" t="s">
        <v>402</v>
      </c>
      <c r="G201" s="87" t="s">
        <v>1053</v>
      </c>
      <c r="H201" s="70" t="s">
        <v>370</v>
      </c>
      <c r="I201" s="132">
        <f>VLOOKUP(H201,Dados!$B$2:$C$53,2,0)</f>
        <v>13</v>
      </c>
      <c r="J201" s="112">
        <f>VLOOKUP(H201,Dados!$B$2:$E$53,4,0)</f>
        <v>100</v>
      </c>
    </row>
    <row r="202" spans="1:10" ht="24" x14ac:dyDescent="0.2">
      <c r="A202" s="70" t="s">
        <v>22</v>
      </c>
      <c r="B202" s="70" t="s">
        <v>922</v>
      </c>
      <c r="C202" s="70" t="s">
        <v>662</v>
      </c>
      <c r="D202" s="72" t="s">
        <v>923</v>
      </c>
      <c r="E202" s="71" t="s">
        <v>91</v>
      </c>
      <c r="F202" s="76" t="s">
        <v>402</v>
      </c>
      <c r="G202" s="87" t="s">
        <v>980</v>
      </c>
      <c r="H202" s="70" t="s">
        <v>370</v>
      </c>
      <c r="I202" s="132">
        <f>VLOOKUP(H202,Dados!$B$2:$C$53,2,0)</f>
        <v>13</v>
      </c>
      <c r="J202" s="112">
        <f>VLOOKUP(H202,Dados!$B$2:$E$53,4,0)</f>
        <v>100</v>
      </c>
    </row>
    <row r="203" spans="1:10" ht="48" x14ac:dyDescent="0.2">
      <c r="A203" s="70"/>
      <c r="B203" s="70" t="s">
        <v>933</v>
      </c>
      <c r="C203" s="70" t="s">
        <v>934</v>
      </c>
      <c r="D203" s="72" t="s">
        <v>931</v>
      </c>
      <c r="E203" s="71" t="s">
        <v>86</v>
      </c>
      <c r="F203" s="76" t="s">
        <v>382</v>
      </c>
      <c r="G203" s="87" t="s">
        <v>935</v>
      </c>
      <c r="H203" s="70" t="s">
        <v>370</v>
      </c>
      <c r="I203" s="132">
        <f>VLOOKUP(H203,Dados!$B$2:$C$53,2,0)</f>
        <v>13</v>
      </c>
      <c r="J203" s="112">
        <f>VLOOKUP(H203,Dados!$B$2:$E$53,4,0)</f>
        <v>100</v>
      </c>
    </row>
    <row r="204" spans="1:10" ht="96" x14ac:dyDescent="0.2">
      <c r="A204" s="70" t="s">
        <v>17</v>
      </c>
      <c r="B204" s="70" t="s">
        <v>937</v>
      </c>
      <c r="C204" s="70" t="s">
        <v>938</v>
      </c>
      <c r="D204" s="72" t="s">
        <v>1177</v>
      </c>
      <c r="E204" s="71" t="s">
        <v>77</v>
      </c>
      <c r="F204" s="76" t="s">
        <v>401</v>
      </c>
      <c r="G204" s="87" t="s">
        <v>1178</v>
      </c>
      <c r="H204" s="70" t="s">
        <v>370</v>
      </c>
      <c r="I204" s="132">
        <f>VLOOKUP(H204,Dados!$B$2:$C$53,2,0)</f>
        <v>13</v>
      </c>
      <c r="J204" s="112">
        <f>VLOOKUP(H204,Dados!$B$2:$E$53,4,0)</f>
        <v>100</v>
      </c>
    </row>
    <row r="205" spans="1:10" ht="60" x14ac:dyDescent="0.2">
      <c r="A205" s="70"/>
      <c r="B205" s="70" t="s">
        <v>26</v>
      </c>
      <c r="C205" s="70" t="s">
        <v>939</v>
      </c>
      <c r="D205" s="72" t="s">
        <v>940</v>
      </c>
      <c r="E205" s="71" t="s">
        <v>16</v>
      </c>
      <c r="F205" s="76" t="s">
        <v>380</v>
      </c>
      <c r="G205" s="87" t="s">
        <v>955</v>
      </c>
      <c r="H205" s="70" t="s">
        <v>387</v>
      </c>
      <c r="I205" s="132">
        <f>VLOOKUP(H205,Dados!$B$2:$C$53,2,0)</f>
        <v>10</v>
      </c>
      <c r="J205" s="112">
        <f>VLOOKUP(H205,Dados!$B$2:$E$53,4,0)</f>
        <v>80</v>
      </c>
    </row>
    <row r="206" spans="1:10" ht="24" x14ac:dyDescent="0.2">
      <c r="A206" s="70"/>
      <c r="B206" s="70" t="s">
        <v>941</v>
      </c>
      <c r="C206" s="70" t="s">
        <v>942</v>
      </c>
      <c r="D206" s="72" t="s">
        <v>943</v>
      </c>
      <c r="E206" s="71" t="s">
        <v>132</v>
      </c>
      <c r="F206" s="76"/>
      <c r="G206" s="87" t="s">
        <v>944</v>
      </c>
      <c r="H206" s="70" t="s">
        <v>366</v>
      </c>
      <c r="I206" s="132">
        <f>VLOOKUP(H206,Dados!$B$2:$C$53,2,0)</f>
        <v>7</v>
      </c>
      <c r="J206" s="112">
        <f>VLOOKUP(H206,Dados!$B$2:$E$53,4,0)</f>
        <v>50</v>
      </c>
    </row>
    <row r="207" spans="1:10" ht="24" x14ac:dyDescent="0.2">
      <c r="A207" s="70" t="s">
        <v>22</v>
      </c>
      <c r="B207" s="70" t="s">
        <v>963</v>
      </c>
      <c r="C207" s="70" t="s">
        <v>961</v>
      </c>
      <c r="D207" s="72" t="s">
        <v>962</v>
      </c>
      <c r="E207" s="71" t="s">
        <v>132</v>
      </c>
      <c r="F207" s="76" t="s">
        <v>401</v>
      </c>
      <c r="G207" s="87" t="s">
        <v>974</v>
      </c>
      <c r="H207" s="70" t="s">
        <v>370</v>
      </c>
      <c r="I207" s="132">
        <f>VLOOKUP(H207,Dados!$B$2:$C$53,2,0)</f>
        <v>13</v>
      </c>
      <c r="J207" s="112">
        <f>VLOOKUP(H207,Dados!$B$2:$E$53,4,0)</f>
        <v>100</v>
      </c>
    </row>
    <row r="208" spans="1:10" ht="72" x14ac:dyDescent="0.2">
      <c r="A208" s="70" t="s">
        <v>17</v>
      </c>
      <c r="B208" s="70" t="s">
        <v>964</v>
      </c>
      <c r="C208" s="70" t="s">
        <v>271</v>
      </c>
      <c r="D208" s="72" t="s">
        <v>965</v>
      </c>
      <c r="E208" s="71" t="s">
        <v>72</v>
      </c>
      <c r="F208" s="76" t="s">
        <v>382</v>
      </c>
      <c r="G208" s="87" t="s">
        <v>1273</v>
      </c>
      <c r="H208" s="70" t="s">
        <v>366</v>
      </c>
      <c r="I208" s="132">
        <f>VLOOKUP(H208,Dados!$B$2:$C$53,2,0)</f>
        <v>7</v>
      </c>
      <c r="J208" s="112">
        <f>VLOOKUP(H208,Dados!$B$2:$E$53,4,0)</f>
        <v>50</v>
      </c>
    </row>
    <row r="209" spans="1:10" ht="96" x14ac:dyDescent="0.2">
      <c r="A209" s="70" t="s">
        <v>39</v>
      </c>
      <c r="B209" s="70" t="s">
        <v>561</v>
      </c>
      <c r="C209" s="70" t="s">
        <v>84</v>
      </c>
      <c r="D209" s="72" t="s">
        <v>1105</v>
      </c>
      <c r="E209" s="71" t="s">
        <v>8</v>
      </c>
      <c r="F209" s="76" t="s">
        <v>380</v>
      </c>
      <c r="G209" s="87" t="s">
        <v>1180</v>
      </c>
      <c r="H209" s="70" t="s">
        <v>388</v>
      </c>
      <c r="I209" s="132">
        <f>VLOOKUP(H209,Dados!$B$2:$C$53,2,0)</f>
        <v>8</v>
      </c>
      <c r="J209" s="112">
        <f>VLOOKUP(H209,Dados!$B$2:$E$53,4,0)</f>
        <v>60</v>
      </c>
    </row>
    <row r="210" spans="1:10" ht="36" x14ac:dyDescent="0.2">
      <c r="A210" s="70" t="s">
        <v>22</v>
      </c>
      <c r="B210" s="70" t="s">
        <v>968</v>
      </c>
      <c r="C210" s="70" t="s">
        <v>969</v>
      </c>
      <c r="D210" s="72" t="s">
        <v>1126</v>
      </c>
      <c r="E210" s="71" t="s">
        <v>91</v>
      </c>
      <c r="F210" s="76" t="s">
        <v>402</v>
      </c>
      <c r="G210" s="87" t="s">
        <v>1127</v>
      </c>
      <c r="H210" s="70" t="s">
        <v>370</v>
      </c>
      <c r="I210" s="132">
        <f>VLOOKUP(H210,Dados!$B$2:$C$53,2,0)</f>
        <v>13</v>
      </c>
      <c r="J210" s="112">
        <f>VLOOKUP(H210,Dados!$B$2:$E$53,4,0)</f>
        <v>100</v>
      </c>
    </row>
    <row r="211" spans="1:10" ht="24" x14ac:dyDescent="0.2">
      <c r="A211" s="70" t="s">
        <v>22</v>
      </c>
      <c r="B211" s="70" t="s">
        <v>169</v>
      </c>
      <c r="C211" s="70" t="s">
        <v>712</v>
      </c>
      <c r="D211" s="72" t="s">
        <v>1137</v>
      </c>
      <c r="E211" s="71" t="s">
        <v>32</v>
      </c>
      <c r="F211" s="76" t="s">
        <v>402</v>
      </c>
      <c r="G211" s="87" t="s">
        <v>1135</v>
      </c>
      <c r="H211" s="70" t="s">
        <v>370</v>
      </c>
      <c r="I211" s="132">
        <f>VLOOKUP(H211,Dados!$B$2:$C$53,2,0)</f>
        <v>13</v>
      </c>
      <c r="J211" s="112">
        <f>VLOOKUP(H211,Dados!$B$2:$E$53,4,0)</f>
        <v>100</v>
      </c>
    </row>
    <row r="212" spans="1:10" ht="24" x14ac:dyDescent="0.2">
      <c r="A212" s="70" t="s">
        <v>22</v>
      </c>
      <c r="B212" s="70" t="s">
        <v>970</v>
      </c>
      <c r="C212" s="70" t="s">
        <v>971</v>
      </c>
      <c r="D212" s="72" t="s">
        <v>1008</v>
      </c>
      <c r="E212" s="71" t="s">
        <v>132</v>
      </c>
      <c r="F212" s="76" t="s">
        <v>402</v>
      </c>
      <c r="G212" s="87" t="s">
        <v>1007</v>
      </c>
      <c r="H212" s="70" t="s">
        <v>370</v>
      </c>
      <c r="I212" s="132">
        <f>VLOOKUP(H212,Dados!$B$2:$C$53,2,0)</f>
        <v>13</v>
      </c>
      <c r="J212" s="112">
        <f>VLOOKUP(H212,Dados!$B$2:$E$53,4,0)</f>
        <v>100</v>
      </c>
    </row>
    <row r="213" spans="1:10" ht="36" x14ac:dyDescent="0.2">
      <c r="A213" s="70" t="s">
        <v>22</v>
      </c>
      <c r="B213" s="70" t="s">
        <v>972</v>
      </c>
      <c r="C213" s="70" t="s">
        <v>973</v>
      </c>
      <c r="D213" s="72" t="s">
        <v>1134</v>
      </c>
      <c r="E213" s="71" t="s">
        <v>91</v>
      </c>
      <c r="F213" s="76" t="s">
        <v>402</v>
      </c>
      <c r="G213" s="87" t="s">
        <v>1135</v>
      </c>
      <c r="H213" s="70" t="s">
        <v>387</v>
      </c>
      <c r="I213" s="132">
        <f>VLOOKUP(H213,Dados!$B$2:$C$53,2,0)</f>
        <v>10</v>
      </c>
      <c r="J213" s="112">
        <f>VLOOKUP(H213,Dados!$B$2:$E$53,4,0)</f>
        <v>80</v>
      </c>
    </row>
    <row r="214" spans="1:10" ht="36" x14ac:dyDescent="0.2">
      <c r="A214" s="70" t="s">
        <v>22</v>
      </c>
      <c r="B214" s="70" t="s">
        <v>972</v>
      </c>
      <c r="C214" s="70" t="s">
        <v>973</v>
      </c>
      <c r="D214" s="72" t="s">
        <v>1136</v>
      </c>
      <c r="E214" s="71" t="s">
        <v>91</v>
      </c>
      <c r="F214" s="76" t="s">
        <v>402</v>
      </c>
      <c r="G214" s="87" t="s">
        <v>1135</v>
      </c>
      <c r="H214" s="70" t="s">
        <v>370</v>
      </c>
      <c r="I214" s="132">
        <f>VLOOKUP(H214,Dados!$B$2:$C$53,2,0)</f>
        <v>13</v>
      </c>
      <c r="J214" s="112">
        <f>VLOOKUP(H214,Dados!$B$2:$E$53,4,0)</f>
        <v>100</v>
      </c>
    </row>
    <row r="215" spans="1:10" x14ac:dyDescent="0.2">
      <c r="A215" s="70" t="s">
        <v>17</v>
      </c>
      <c r="B215" s="70" t="s">
        <v>474</v>
      </c>
      <c r="C215" s="70" t="s">
        <v>140</v>
      </c>
      <c r="D215" s="72" t="s">
        <v>346</v>
      </c>
      <c r="E215" s="71" t="s">
        <v>210</v>
      </c>
      <c r="F215" s="76" t="s">
        <v>382</v>
      </c>
      <c r="G215" s="87" t="s">
        <v>984</v>
      </c>
      <c r="H215" s="70" t="s">
        <v>362</v>
      </c>
      <c r="I215" s="132">
        <f>VLOOKUP(H215,Dados!$B$2:$C$53,2,0)</f>
        <v>1</v>
      </c>
      <c r="J215" s="112">
        <f>VLOOKUP(H215,Dados!$B$2:$E$53,4,0)</f>
        <v>5</v>
      </c>
    </row>
    <row r="216" spans="1:10" ht="72" x14ac:dyDescent="0.2">
      <c r="A216" s="70" t="s">
        <v>39</v>
      </c>
      <c r="B216" s="70" t="s">
        <v>986</v>
      </c>
      <c r="C216" s="70" t="s">
        <v>987</v>
      </c>
      <c r="D216" s="72" t="s">
        <v>1001</v>
      </c>
      <c r="E216" s="71" t="s">
        <v>210</v>
      </c>
      <c r="F216" s="76" t="s">
        <v>401</v>
      </c>
      <c r="G216" s="87" t="s">
        <v>1032</v>
      </c>
      <c r="H216" s="70" t="s">
        <v>368</v>
      </c>
      <c r="I216" s="132">
        <f>VLOOKUP(H216,Dados!$B$2:$C$53,2,0)</f>
        <v>11</v>
      </c>
      <c r="J216" s="112">
        <f>VLOOKUP(H216,Dados!$B$2:$E$53,4,0)</f>
        <v>90</v>
      </c>
    </row>
    <row r="217" spans="1:10" ht="24" x14ac:dyDescent="0.2">
      <c r="A217" s="70" t="s">
        <v>22</v>
      </c>
      <c r="B217" s="70" t="s">
        <v>501</v>
      </c>
      <c r="C217" s="70" t="s">
        <v>502</v>
      </c>
      <c r="D217" s="72" t="s">
        <v>1143</v>
      </c>
      <c r="E217" s="71" t="s">
        <v>32</v>
      </c>
      <c r="F217" s="76" t="s">
        <v>402</v>
      </c>
      <c r="G217" s="87" t="s">
        <v>1144</v>
      </c>
      <c r="H217" s="70" t="s">
        <v>370</v>
      </c>
      <c r="I217" s="132">
        <f>VLOOKUP(H217,Dados!$B$2:$C$53,2,0)</f>
        <v>13</v>
      </c>
      <c r="J217" s="112">
        <f>VLOOKUP(H217,Dados!$B$2:$E$53,4,0)</f>
        <v>100</v>
      </c>
    </row>
    <row r="218" spans="1:10" ht="84" x14ac:dyDescent="0.2">
      <c r="A218" s="70" t="s">
        <v>17</v>
      </c>
      <c r="B218" s="70" t="s">
        <v>988</v>
      </c>
      <c r="C218" s="70" t="s">
        <v>255</v>
      </c>
      <c r="D218" s="72" t="s">
        <v>989</v>
      </c>
      <c r="E218" s="71" t="s">
        <v>548</v>
      </c>
      <c r="F218" s="76" t="s">
        <v>401</v>
      </c>
      <c r="G218" s="87" t="s">
        <v>1142</v>
      </c>
      <c r="H218" s="70" t="s">
        <v>370</v>
      </c>
      <c r="I218" s="132">
        <f>VLOOKUP(H218,Dados!$B$2:$C$53,2,0)</f>
        <v>13</v>
      </c>
      <c r="J218" s="112">
        <f>VLOOKUP(H218,Dados!$B$2:$E$53,4,0)</f>
        <v>100</v>
      </c>
    </row>
    <row r="219" spans="1:10" ht="36" x14ac:dyDescent="0.2">
      <c r="A219" s="70" t="s">
        <v>22</v>
      </c>
      <c r="B219" s="70" t="s">
        <v>991</v>
      </c>
      <c r="C219" s="70" t="s">
        <v>995</v>
      </c>
      <c r="D219" s="72" t="s">
        <v>992</v>
      </c>
      <c r="E219" s="71" t="s">
        <v>91</v>
      </c>
      <c r="F219" s="76" t="s">
        <v>402</v>
      </c>
      <c r="G219" s="87" t="s">
        <v>1078</v>
      </c>
      <c r="H219" s="70" t="s">
        <v>370</v>
      </c>
      <c r="I219" s="132">
        <f>VLOOKUP(H219,Dados!$B$2:$C$53,2,0)</f>
        <v>13</v>
      </c>
      <c r="J219" s="112">
        <f>VLOOKUP(H219,Dados!$B$2:$E$53,4,0)</f>
        <v>100</v>
      </c>
    </row>
    <row r="220" spans="1:10" ht="36" x14ac:dyDescent="0.2">
      <c r="A220" s="70" t="s">
        <v>22</v>
      </c>
      <c r="B220" s="70" t="s">
        <v>993</v>
      </c>
      <c r="C220" s="70" t="s">
        <v>994</v>
      </c>
      <c r="D220" s="72" t="s">
        <v>1138</v>
      </c>
      <c r="E220" s="71" t="s">
        <v>91</v>
      </c>
      <c r="F220" s="76" t="s">
        <v>402</v>
      </c>
      <c r="G220" s="87" t="s">
        <v>1125</v>
      </c>
      <c r="H220" s="70" t="s">
        <v>370</v>
      </c>
      <c r="I220" s="132">
        <f>VLOOKUP(H220,Dados!$B$2:$C$53,2,0)</f>
        <v>13</v>
      </c>
      <c r="J220" s="112">
        <f>VLOOKUP(H220,Dados!$B$2:$E$53,4,0)</f>
        <v>100</v>
      </c>
    </row>
    <row r="221" spans="1:10" ht="36" x14ac:dyDescent="0.2">
      <c r="A221" s="70" t="s">
        <v>22</v>
      </c>
      <c r="B221" s="70" t="s">
        <v>691</v>
      </c>
      <c r="C221" s="70" t="s">
        <v>996</v>
      </c>
      <c r="D221" s="72" t="s">
        <v>1146</v>
      </c>
      <c r="E221" s="71" t="s">
        <v>91</v>
      </c>
      <c r="F221" s="76" t="s">
        <v>402</v>
      </c>
      <c r="G221" s="87" t="s">
        <v>1147</v>
      </c>
      <c r="H221" s="70" t="s">
        <v>370</v>
      </c>
      <c r="I221" s="132">
        <f>VLOOKUP(H221,Dados!$B$2:$C$53,2,0)</f>
        <v>13</v>
      </c>
      <c r="J221" s="112">
        <f>VLOOKUP(H221,Dados!$B$2:$E$53,4,0)</f>
        <v>100</v>
      </c>
    </row>
    <row r="222" spans="1:10" ht="36" x14ac:dyDescent="0.2">
      <c r="A222" s="70" t="s">
        <v>22</v>
      </c>
      <c r="B222" s="70" t="s">
        <v>997</v>
      </c>
      <c r="C222" s="70" t="s">
        <v>998</v>
      </c>
      <c r="D222" s="72" t="s">
        <v>1124</v>
      </c>
      <c r="E222" s="71" t="s">
        <v>91</v>
      </c>
      <c r="F222" s="76" t="s">
        <v>402</v>
      </c>
      <c r="G222" s="87" t="s">
        <v>1125</v>
      </c>
      <c r="H222" s="70" t="s">
        <v>370</v>
      </c>
      <c r="I222" s="132">
        <f>VLOOKUP(H222,Dados!$B$2:$C$53,2,0)</f>
        <v>13</v>
      </c>
      <c r="J222" s="112">
        <f>VLOOKUP(H222,Dados!$B$2:$E$53,4,0)</f>
        <v>100</v>
      </c>
    </row>
    <row r="223" spans="1:10" ht="48" x14ac:dyDescent="0.2">
      <c r="A223" s="70" t="s">
        <v>22</v>
      </c>
      <c r="B223" s="70" t="s">
        <v>1003</v>
      </c>
      <c r="C223" s="70" t="s">
        <v>1004</v>
      </c>
      <c r="D223" s="72" t="s">
        <v>1200</v>
      </c>
      <c r="E223" s="71" t="s">
        <v>16</v>
      </c>
      <c r="F223" s="76" t="s">
        <v>402</v>
      </c>
      <c r="G223" s="87" t="s">
        <v>1201</v>
      </c>
      <c r="H223" s="70" t="s">
        <v>370</v>
      </c>
      <c r="I223" s="132">
        <f>VLOOKUP(H223,Dados!$B$2:$C$53,2,0)</f>
        <v>13</v>
      </c>
      <c r="J223" s="112">
        <f>VLOOKUP(H223,Dados!$B$2:$E$53,4,0)</f>
        <v>100</v>
      </c>
    </row>
    <row r="224" spans="1:10" ht="48" x14ac:dyDescent="0.2">
      <c r="A224" s="70" t="s">
        <v>22</v>
      </c>
      <c r="B224" s="70" t="s">
        <v>1005</v>
      </c>
      <c r="C224" s="70" t="s">
        <v>1006</v>
      </c>
      <c r="D224" s="72" t="s">
        <v>1202</v>
      </c>
      <c r="E224" s="71" t="s">
        <v>77</v>
      </c>
      <c r="F224" s="76" t="s">
        <v>402</v>
      </c>
      <c r="G224" s="87" t="s">
        <v>1201</v>
      </c>
      <c r="H224" s="70" t="s">
        <v>370</v>
      </c>
      <c r="I224" s="132">
        <f>VLOOKUP(H224,Dados!$B$2:$C$53,2,0)</f>
        <v>13</v>
      </c>
      <c r="J224" s="112">
        <f>VLOOKUP(H224,Dados!$B$2:$E$53,4,0)</f>
        <v>100</v>
      </c>
    </row>
    <row r="225" spans="1:10" x14ac:dyDescent="0.2">
      <c r="A225" s="70" t="s">
        <v>17</v>
      </c>
      <c r="B225" s="70" t="s">
        <v>1017</v>
      </c>
      <c r="C225" s="70" t="s">
        <v>140</v>
      </c>
      <c r="D225" s="72" t="s">
        <v>1018</v>
      </c>
      <c r="E225" s="71" t="s">
        <v>210</v>
      </c>
      <c r="F225" s="76" t="s">
        <v>380</v>
      </c>
      <c r="G225" s="87" t="s">
        <v>1019</v>
      </c>
      <c r="H225" s="70" t="s">
        <v>362</v>
      </c>
      <c r="I225" s="132">
        <f>VLOOKUP(H225,Dados!$B$2:$C$53,2,0)</f>
        <v>1</v>
      </c>
      <c r="J225" s="112">
        <f>VLOOKUP(H225,Dados!$B$2:$E$53,4,0)</f>
        <v>5</v>
      </c>
    </row>
    <row r="226" spans="1:10" ht="84" x14ac:dyDescent="0.2">
      <c r="A226" s="70" t="s">
        <v>17</v>
      </c>
      <c r="B226" s="70" t="s">
        <v>1021</v>
      </c>
      <c r="C226" s="70" t="s">
        <v>1022</v>
      </c>
      <c r="D226" s="72" t="s">
        <v>1035</v>
      </c>
      <c r="E226" s="71" t="s">
        <v>77</v>
      </c>
      <c r="F226" s="76" t="s">
        <v>401</v>
      </c>
      <c r="G226" s="87" t="s">
        <v>1175</v>
      </c>
      <c r="H226" s="70" t="s">
        <v>370</v>
      </c>
      <c r="I226" s="132">
        <f>VLOOKUP(H226,Dados!$B$2:$C$53,2,0)</f>
        <v>13</v>
      </c>
      <c r="J226" s="112">
        <f>VLOOKUP(H226,Dados!$B$2:$E$53,4,0)</f>
        <v>100</v>
      </c>
    </row>
    <row r="227" spans="1:10" ht="48" x14ac:dyDescent="0.2">
      <c r="A227" s="70" t="s">
        <v>22</v>
      </c>
      <c r="B227" s="70" t="s">
        <v>1023</v>
      </c>
      <c r="C227" s="70" t="s">
        <v>1024</v>
      </c>
      <c r="D227" s="72" t="s">
        <v>1025</v>
      </c>
      <c r="E227" s="71" t="s">
        <v>132</v>
      </c>
      <c r="F227" s="76" t="s">
        <v>402</v>
      </c>
      <c r="G227" s="87" t="s">
        <v>1033</v>
      </c>
      <c r="H227" s="70" t="s">
        <v>370</v>
      </c>
      <c r="I227" s="132">
        <f>VLOOKUP(H227,Dados!$B$2:$C$53,2,0)</f>
        <v>13</v>
      </c>
      <c r="J227" s="112">
        <f>VLOOKUP(H227,Dados!$B$2:$E$53,4,0)</f>
        <v>100</v>
      </c>
    </row>
    <row r="228" spans="1:10" ht="36" x14ac:dyDescent="0.2">
      <c r="A228" s="70" t="s">
        <v>22</v>
      </c>
      <c r="B228" s="70" t="s">
        <v>283</v>
      </c>
      <c r="C228" s="70" t="s">
        <v>1026</v>
      </c>
      <c r="D228" s="72" t="s">
        <v>1027</v>
      </c>
      <c r="E228" s="71" t="s">
        <v>91</v>
      </c>
      <c r="F228" s="76" t="s">
        <v>402</v>
      </c>
      <c r="G228" s="87" t="s">
        <v>1079</v>
      </c>
      <c r="H228" s="70" t="s">
        <v>370</v>
      </c>
      <c r="I228" s="132">
        <f>VLOOKUP(H228,Dados!$B$2:$C$53,2,0)</f>
        <v>13</v>
      </c>
      <c r="J228" s="112">
        <f>VLOOKUP(H228,Dados!$B$2:$E$53,4,0)</f>
        <v>100</v>
      </c>
    </row>
    <row r="229" spans="1:10" ht="60" x14ac:dyDescent="0.2">
      <c r="A229" s="70" t="s">
        <v>39</v>
      </c>
      <c r="B229" s="70" t="s">
        <v>1029</v>
      </c>
      <c r="C229" s="70" t="s">
        <v>1030</v>
      </c>
      <c r="D229" s="72" t="s">
        <v>1034</v>
      </c>
      <c r="E229" s="71" t="s">
        <v>77</v>
      </c>
      <c r="F229" s="76" t="s">
        <v>401</v>
      </c>
      <c r="G229" s="87" t="s">
        <v>1036</v>
      </c>
      <c r="H229" s="70" t="s">
        <v>387</v>
      </c>
      <c r="I229" s="132">
        <f>VLOOKUP(H229,Dados!$B$2:$C$53,2,0)</f>
        <v>10</v>
      </c>
      <c r="J229" s="112">
        <f>VLOOKUP(H229,Dados!$B$2:$E$53,4,0)</f>
        <v>80</v>
      </c>
    </row>
    <row r="230" spans="1:10" ht="36" x14ac:dyDescent="0.2">
      <c r="A230" s="70" t="s">
        <v>22</v>
      </c>
      <c r="B230" s="70" t="s">
        <v>1037</v>
      </c>
      <c r="C230" s="70" t="s">
        <v>1038</v>
      </c>
      <c r="D230" s="72" t="s">
        <v>1196</v>
      </c>
      <c r="E230" s="71" t="s">
        <v>91</v>
      </c>
      <c r="F230" s="76" t="s">
        <v>402</v>
      </c>
      <c r="G230" s="87" t="s">
        <v>1197</v>
      </c>
      <c r="H230" s="70" t="s">
        <v>370</v>
      </c>
      <c r="I230" s="132">
        <f>VLOOKUP(H230,Dados!$B$2:$C$53,2,0)</f>
        <v>13</v>
      </c>
      <c r="J230" s="112">
        <f>VLOOKUP(H230,Dados!$B$2:$E$53,4,0)</f>
        <v>100</v>
      </c>
    </row>
    <row r="231" spans="1:10" ht="36" x14ac:dyDescent="0.2">
      <c r="A231" s="70" t="s">
        <v>10</v>
      </c>
      <c r="B231" s="70" t="s">
        <v>1042</v>
      </c>
      <c r="C231" s="70" t="s">
        <v>845</v>
      </c>
      <c r="D231" s="72" t="s">
        <v>1043</v>
      </c>
      <c r="E231" s="71" t="s">
        <v>53</v>
      </c>
      <c r="F231" s="76" t="s">
        <v>380</v>
      </c>
      <c r="G231" s="87" t="s">
        <v>1329</v>
      </c>
      <c r="H231" s="70" t="s">
        <v>364</v>
      </c>
      <c r="I231" s="132">
        <f>VLOOKUP(H231,Dados!$B$2:$C$53,2,0)</f>
        <v>5</v>
      </c>
      <c r="J231" s="112">
        <f>VLOOKUP(H231,Dados!$B$2:$E$53,4,0)</f>
        <v>30</v>
      </c>
    </row>
    <row r="232" spans="1:10" ht="60" x14ac:dyDescent="0.2">
      <c r="A232" s="70" t="s">
        <v>22</v>
      </c>
      <c r="B232" s="70" t="s">
        <v>1045</v>
      </c>
      <c r="C232" s="70" t="s">
        <v>1046</v>
      </c>
      <c r="D232" s="72" t="s">
        <v>1132</v>
      </c>
      <c r="E232" s="71" t="s">
        <v>91</v>
      </c>
      <c r="F232" s="76" t="s">
        <v>402</v>
      </c>
      <c r="G232" s="87" t="s">
        <v>1133</v>
      </c>
      <c r="H232" s="70" t="s">
        <v>370</v>
      </c>
      <c r="I232" s="132">
        <f>VLOOKUP(H232,Dados!$B$2:$C$53,2,0)</f>
        <v>13</v>
      </c>
      <c r="J232" s="112">
        <f>VLOOKUP(H232,Dados!$B$2:$E$53,4,0)</f>
        <v>100</v>
      </c>
    </row>
    <row r="233" spans="1:10" ht="24" x14ac:dyDescent="0.2">
      <c r="A233" s="70" t="s">
        <v>22</v>
      </c>
      <c r="B233" s="70" t="s">
        <v>1047</v>
      </c>
      <c r="C233" s="70" t="s">
        <v>606</v>
      </c>
      <c r="D233" s="72" t="s">
        <v>1048</v>
      </c>
      <c r="E233" s="71" t="s">
        <v>43</v>
      </c>
      <c r="F233" s="76" t="s">
        <v>402</v>
      </c>
      <c r="G233" s="87" t="s">
        <v>1228</v>
      </c>
      <c r="H233" s="70" t="s">
        <v>370</v>
      </c>
      <c r="I233" s="132">
        <f>VLOOKUP(H233,Dados!$B$2:$C$53,2,0)</f>
        <v>13</v>
      </c>
      <c r="J233" s="112">
        <f>VLOOKUP(H233,Dados!$B$2:$E$53,4,0)</f>
        <v>100</v>
      </c>
    </row>
    <row r="234" spans="1:10" ht="108" x14ac:dyDescent="0.2">
      <c r="A234" s="70" t="s">
        <v>17</v>
      </c>
      <c r="B234" s="70" t="s">
        <v>525</v>
      </c>
      <c r="C234" s="70" t="s">
        <v>84</v>
      </c>
      <c r="D234" s="72" t="s">
        <v>523</v>
      </c>
      <c r="E234" s="71" t="s">
        <v>210</v>
      </c>
      <c r="F234" s="76" t="s">
        <v>382</v>
      </c>
      <c r="G234" s="87" t="s">
        <v>1233</v>
      </c>
      <c r="H234" s="70" t="s">
        <v>366</v>
      </c>
      <c r="I234" s="132"/>
      <c r="J234" s="112">
        <f>VLOOKUP(H234,Dados!$B$2:$E$53,4,0)</f>
        <v>50</v>
      </c>
    </row>
    <row r="235" spans="1:10" ht="56.25" x14ac:dyDescent="0.2">
      <c r="A235" s="70" t="s">
        <v>22</v>
      </c>
      <c r="B235" s="70" t="s">
        <v>1050</v>
      </c>
      <c r="C235" s="70" t="s">
        <v>1049</v>
      </c>
      <c r="D235" s="72" t="s">
        <v>1249</v>
      </c>
      <c r="E235" s="71" t="s">
        <v>77</v>
      </c>
      <c r="F235" s="76" t="s">
        <v>402</v>
      </c>
      <c r="G235" s="71" t="s">
        <v>1248</v>
      </c>
      <c r="H235" s="70" t="s">
        <v>370</v>
      </c>
      <c r="I235" s="132">
        <f>VLOOKUP(H235,Dados!$B$2:$C$53,2,0)</f>
        <v>13</v>
      </c>
      <c r="J235" s="112">
        <f>VLOOKUP(H235,Dados!$B$2:$E$53,4,0)</f>
        <v>100</v>
      </c>
    </row>
    <row r="236" spans="1:10" ht="56.25" x14ac:dyDescent="0.2">
      <c r="A236" s="70" t="s">
        <v>22</v>
      </c>
      <c r="B236" s="70" t="s">
        <v>1062</v>
      </c>
      <c r="C236" s="70" t="s">
        <v>1063</v>
      </c>
      <c r="D236" s="72" t="s">
        <v>1247</v>
      </c>
      <c r="E236" s="71" t="s">
        <v>32</v>
      </c>
      <c r="F236" s="76" t="s">
        <v>402</v>
      </c>
      <c r="G236" s="71" t="s">
        <v>1248</v>
      </c>
      <c r="H236" s="70" t="s">
        <v>370</v>
      </c>
      <c r="I236" s="132">
        <f>VLOOKUP(H236,Dados!$B$2:$C$53,2,0)</f>
        <v>13</v>
      </c>
      <c r="J236" s="112">
        <f>VLOOKUP(H236,Dados!$B$2:$E$53,4,0)</f>
        <v>100</v>
      </c>
    </row>
    <row r="237" spans="1:10" ht="36" x14ac:dyDescent="0.2">
      <c r="A237" s="70" t="s">
        <v>22</v>
      </c>
      <c r="B237" s="70" t="s">
        <v>1065</v>
      </c>
      <c r="C237" s="70" t="s">
        <v>1066</v>
      </c>
      <c r="D237" s="72" t="s">
        <v>1109</v>
      </c>
      <c r="E237" s="71" t="s">
        <v>91</v>
      </c>
      <c r="F237" s="76" t="s">
        <v>402</v>
      </c>
      <c r="G237" s="87" t="s">
        <v>1110</v>
      </c>
      <c r="H237" s="70" t="s">
        <v>370</v>
      </c>
      <c r="I237" s="132">
        <f>VLOOKUP(H237,Dados!$B$2:$C$53,2,0)</f>
        <v>13</v>
      </c>
      <c r="J237" s="112">
        <f>VLOOKUP(H237,Dados!$B$2:$E$53,4,0)</f>
        <v>100</v>
      </c>
    </row>
    <row r="238" spans="1:10" ht="24" x14ac:dyDescent="0.2">
      <c r="A238" s="70" t="s">
        <v>22</v>
      </c>
      <c r="B238" s="70" t="s">
        <v>1068</v>
      </c>
      <c r="C238" s="70" t="s">
        <v>1069</v>
      </c>
      <c r="D238" s="72" t="s">
        <v>1128</v>
      </c>
      <c r="E238" s="71" t="s">
        <v>91</v>
      </c>
      <c r="F238" s="76" t="s">
        <v>402</v>
      </c>
      <c r="G238" s="87" t="s">
        <v>1129</v>
      </c>
      <c r="H238" s="70" t="s">
        <v>370</v>
      </c>
      <c r="I238" s="132">
        <f>VLOOKUP(H238,Dados!$B$2:$C$53,2,0)</f>
        <v>13</v>
      </c>
      <c r="J238" s="112">
        <f>VLOOKUP(H238,Dados!$B$2:$E$53,4,0)</f>
        <v>100</v>
      </c>
    </row>
    <row r="239" spans="1:10" ht="36" x14ac:dyDescent="0.2">
      <c r="A239" s="70" t="s">
        <v>22</v>
      </c>
      <c r="B239" s="70" t="s">
        <v>1071</v>
      </c>
      <c r="C239" s="70" t="s">
        <v>1072</v>
      </c>
      <c r="D239" s="72" t="s">
        <v>1074</v>
      </c>
      <c r="E239" s="71" t="s">
        <v>360</v>
      </c>
      <c r="F239" s="76" t="s">
        <v>402</v>
      </c>
      <c r="G239" s="87" t="s">
        <v>1051</v>
      </c>
      <c r="H239" s="70" t="s">
        <v>387</v>
      </c>
      <c r="I239" s="132">
        <f>VLOOKUP(H239,Dados!$B$2:$C$53,2,0)</f>
        <v>10</v>
      </c>
      <c r="J239" s="112">
        <f>VLOOKUP(H239,Dados!$B$2:$E$53,4,0)</f>
        <v>80</v>
      </c>
    </row>
    <row r="240" spans="1:10" ht="108" x14ac:dyDescent="0.2">
      <c r="A240" s="70" t="s">
        <v>10</v>
      </c>
      <c r="B240" s="70" t="s">
        <v>1075</v>
      </c>
      <c r="C240" s="70" t="s">
        <v>1077</v>
      </c>
      <c r="D240" s="72" t="s">
        <v>1076</v>
      </c>
      <c r="E240" s="71" t="s">
        <v>32</v>
      </c>
      <c r="F240" s="76" t="s">
        <v>401</v>
      </c>
      <c r="G240" s="87" t="s">
        <v>1275</v>
      </c>
      <c r="H240" s="70" t="s">
        <v>370</v>
      </c>
      <c r="I240" s="132">
        <f>VLOOKUP(H240,Dados!$B$2:$C$53,2,0)</f>
        <v>13</v>
      </c>
      <c r="J240" s="112">
        <f>VLOOKUP(H240,Dados!$B$2:$E$53,4,0)</f>
        <v>100</v>
      </c>
    </row>
    <row r="241" spans="1:10" ht="48" x14ac:dyDescent="0.2">
      <c r="A241" s="70" t="s">
        <v>39</v>
      </c>
      <c r="B241" s="70" t="s">
        <v>518</v>
      </c>
      <c r="C241" s="70" t="s">
        <v>84</v>
      </c>
      <c r="D241" s="72" t="s">
        <v>1081</v>
      </c>
      <c r="E241" s="71" t="s">
        <v>67</v>
      </c>
      <c r="F241" s="76" t="s">
        <v>382</v>
      </c>
      <c r="G241" s="87" t="s">
        <v>1100</v>
      </c>
      <c r="H241" s="70" t="s">
        <v>370</v>
      </c>
      <c r="I241" s="132">
        <f>VLOOKUP(H241,Dados!$B$2:$C$53,2,0)</f>
        <v>13</v>
      </c>
      <c r="J241" s="112">
        <f>VLOOKUP(H241,Dados!$B$2:$E$53,4,0)</f>
        <v>100</v>
      </c>
    </row>
    <row r="242" spans="1:10" ht="48" x14ac:dyDescent="0.2">
      <c r="A242" s="70" t="s">
        <v>39</v>
      </c>
      <c r="B242" s="71" t="s">
        <v>92</v>
      </c>
      <c r="C242" s="71" t="s">
        <v>93</v>
      </c>
      <c r="D242" s="72" t="s">
        <v>1082</v>
      </c>
      <c r="E242" s="70" t="s">
        <v>16</v>
      </c>
      <c r="F242" s="76" t="s">
        <v>380</v>
      </c>
      <c r="G242" s="87" t="s">
        <v>1092</v>
      </c>
      <c r="H242" s="70" t="s">
        <v>387</v>
      </c>
      <c r="I242" s="133">
        <f>VLOOKUP(H242,Dados!$B$2:$C$53,2,0)</f>
        <v>10</v>
      </c>
      <c r="J242" s="112">
        <f>VLOOKUP(H242,Dados!$B$2:$E$53,4,0)</f>
        <v>80</v>
      </c>
    </row>
    <row r="243" spans="1:10" ht="36" x14ac:dyDescent="0.2">
      <c r="A243" s="70" t="s">
        <v>22</v>
      </c>
      <c r="B243" s="70" t="s">
        <v>1086</v>
      </c>
      <c r="C243" s="70" t="s">
        <v>1089</v>
      </c>
      <c r="D243" s="72" t="s">
        <v>1130</v>
      </c>
      <c r="E243" s="71" t="s">
        <v>91</v>
      </c>
      <c r="F243" s="76" t="s">
        <v>402</v>
      </c>
      <c r="G243" s="87" t="s">
        <v>1131</v>
      </c>
      <c r="H243" s="70" t="s">
        <v>370</v>
      </c>
      <c r="I243" s="133">
        <f>VLOOKUP(H243,Dados!$B$2:$C$53,2,0)</f>
        <v>13</v>
      </c>
      <c r="J243" s="112">
        <f>VLOOKUP(H243,Dados!$B$2:$E$53,4,0)</f>
        <v>100</v>
      </c>
    </row>
    <row r="244" spans="1:10" ht="72" x14ac:dyDescent="0.2">
      <c r="A244" s="70" t="s">
        <v>39</v>
      </c>
      <c r="B244" s="70" t="s">
        <v>579</v>
      </c>
      <c r="C244" s="108" t="s">
        <v>1097</v>
      </c>
      <c r="D244" s="72" t="s">
        <v>1098</v>
      </c>
      <c r="E244" s="71" t="s">
        <v>16</v>
      </c>
      <c r="F244" s="76" t="s">
        <v>380</v>
      </c>
      <c r="G244" s="87" t="s">
        <v>1288</v>
      </c>
      <c r="H244" s="70" t="s">
        <v>366</v>
      </c>
      <c r="I244" s="133">
        <f>VLOOKUP(H244,Dados!$B$2:$C$53,2,0)</f>
        <v>7</v>
      </c>
      <c r="J244" s="112">
        <f>VLOOKUP(H244,Dados!$B$2:$E$53,4,0)</f>
        <v>50</v>
      </c>
    </row>
    <row r="245" spans="1:10" ht="114.75" x14ac:dyDescent="0.2">
      <c r="A245" s="70" t="s">
        <v>58</v>
      </c>
      <c r="B245" s="70" t="s">
        <v>1102</v>
      </c>
      <c r="C245" s="10" t="s">
        <v>1103</v>
      </c>
      <c r="D245" s="72" t="s">
        <v>1104</v>
      </c>
      <c r="E245" s="2" t="s">
        <v>32</v>
      </c>
      <c r="F245" s="76" t="s">
        <v>401</v>
      </c>
      <c r="G245" s="107" t="s">
        <v>1246</v>
      </c>
      <c r="H245" s="70" t="s">
        <v>387</v>
      </c>
      <c r="I245" s="133">
        <f>VLOOKUP(H245,Dados!$B$2:$C$53,2,0)</f>
        <v>10</v>
      </c>
      <c r="J245" s="112">
        <f>VLOOKUP(H245,Dados!$B$2:$E$53,4,0)</f>
        <v>80</v>
      </c>
    </row>
    <row r="246" spans="1:10" ht="51" x14ac:dyDescent="0.2">
      <c r="A246" s="70" t="s">
        <v>22</v>
      </c>
      <c r="B246" s="70" t="s">
        <v>1114</v>
      </c>
      <c r="C246" s="10" t="s">
        <v>1115</v>
      </c>
      <c r="D246" s="72" t="s">
        <v>1116</v>
      </c>
      <c r="E246" s="2" t="s">
        <v>91</v>
      </c>
      <c r="F246" s="76" t="s">
        <v>402</v>
      </c>
      <c r="G246" s="107" t="s">
        <v>1152</v>
      </c>
      <c r="H246" s="70" t="s">
        <v>370</v>
      </c>
      <c r="I246" s="133">
        <f>VLOOKUP(H246,Dados!$B$2:$C$53,2,0)</f>
        <v>13</v>
      </c>
      <c r="J246" s="112">
        <f>VLOOKUP(H246,Dados!$B$2:$E$53,4,0)</f>
        <v>100</v>
      </c>
    </row>
    <row r="247" spans="1:10" ht="38.25" x14ac:dyDescent="0.2">
      <c r="A247" s="70" t="s">
        <v>10</v>
      </c>
      <c r="B247" s="70" t="s">
        <v>1118</v>
      </c>
      <c r="C247" s="10" t="s">
        <v>1119</v>
      </c>
      <c r="D247" s="72" t="s">
        <v>1120</v>
      </c>
      <c r="E247" s="2" t="s">
        <v>32</v>
      </c>
      <c r="F247" s="76" t="s">
        <v>402</v>
      </c>
      <c r="G247" s="107" t="s">
        <v>1207</v>
      </c>
      <c r="H247" s="70" t="s">
        <v>629</v>
      </c>
      <c r="I247" s="133">
        <f>VLOOKUP(H247,Dados!$B$2:$C$53,2,0)</f>
        <v>4</v>
      </c>
      <c r="J247" s="112">
        <f>VLOOKUP(H247,Dados!$B$2:$E$53,4,0)</f>
        <v>20</v>
      </c>
    </row>
    <row r="248" spans="1:10" ht="51" x14ac:dyDescent="0.2">
      <c r="A248" s="70" t="s">
        <v>39</v>
      </c>
      <c r="B248" s="70" t="s">
        <v>1145</v>
      </c>
      <c r="C248" s="10" t="s">
        <v>1122</v>
      </c>
      <c r="D248" s="72" t="s">
        <v>1123</v>
      </c>
      <c r="E248" s="2" t="s">
        <v>32</v>
      </c>
      <c r="F248" s="76" t="s">
        <v>401</v>
      </c>
      <c r="G248" s="107" t="s">
        <v>1179</v>
      </c>
      <c r="H248" s="70" t="s">
        <v>388</v>
      </c>
      <c r="I248" s="133">
        <f>VLOOKUP(H248,Dados!$B$2:$C$53,2,0)</f>
        <v>8</v>
      </c>
      <c r="J248" s="112">
        <f>VLOOKUP(H248,Dados!$B$2:$E$53,4,0)</f>
        <v>60</v>
      </c>
    </row>
    <row r="249" spans="1:10" ht="51" x14ac:dyDescent="0.2">
      <c r="A249" s="70" t="s">
        <v>39</v>
      </c>
      <c r="B249" s="70" t="s">
        <v>1153</v>
      </c>
      <c r="C249" s="10" t="s">
        <v>1154</v>
      </c>
      <c r="D249" s="72" t="s">
        <v>1155</v>
      </c>
      <c r="E249" s="2" t="s">
        <v>91</v>
      </c>
      <c r="F249" s="76" t="s">
        <v>402</v>
      </c>
      <c r="G249" s="107" t="s">
        <v>1173</v>
      </c>
      <c r="H249" s="70" t="s">
        <v>370</v>
      </c>
      <c r="I249" s="133">
        <f>VLOOKUP(H249,Dados!$B$2:$C$53,2,0)</f>
        <v>13</v>
      </c>
      <c r="J249" s="112">
        <f>VLOOKUP(H249,Dados!$B$2:$E$53,4,0)</f>
        <v>100</v>
      </c>
    </row>
    <row r="250" spans="1:10" ht="38.25" x14ac:dyDescent="0.2">
      <c r="A250" s="70" t="s">
        <v>39</v>
      </c>
      <c r="B250" s="70" t="s">
        <v>1162</v>
      </c>
      <c r="C250" s="10" t="s">
        <v>1163</v>
      </c>
      <c r="D250" s="72" t="s">
        <v>1164</v>
      </c>
      <c r="E250" s="2" t="s">
        <v>16</v>
      </c>
      <c r="F250" s="76" t="s">
        <v>402</v>
      </c>
      <c r="G250" s="107" t="s">
        <v>1227</v>
      </c>
      <c r="H250" s="70" t="s">
        <v>370</v>
      </c>
      <c r="I250" s="133">
        <f>VLOOKUP(H250,Dados!$B$2:$C$53,2,0)</f>
        <v>13</v>
      </c>
      <c r="J250" s="112">
        <f>VLOOKUP(H250,Dados!$B$2:$E$53,4,0)</f>
        <v>100</v>
      </c>
    </row>
    <row r="251" spans="1:10" ht="45" x14ac:dyDescent="0.2">
      <c r="A251" s="70" t="s">
        <v>39</v>
      </c>
      <c r="B251" s="70" t="s">
        <v>1181</v>
      </c>
      <c r="C251" s="10" t="s">
        <v>1182</v>
      </c>
      <c r="D251" s="72" t="s">
        <v>1234</v>
      </c>
      <c r="E251" s="2" t="s">
        <v>16</v>
      </c>
      <c r="F251" s="76" t="s">
        <v>402</v>
      </c>
      <c r="G251" s="107" t="s">
        <v>1235</v>
      </c>
      <c r="H251" s="70" t="s">
        <v>370</v>
      </c>
      <c r="I251" s="133">
        <f>VLOOKUP(H251,Dados!$B$2:$C$53,2,0)</f>
        <v>13</v>
      </c>
      <c r="J251" s="112">
        <f>VLOOKUP(H251,Dados!$B$2:$E$53,4,0)</f>
        <v>100</v>
      </c>
    </row>
    <row r="252" spans="1:10" ht="25.5" x14ac:dyDescent="0.2">
      <c r="A252" s="70" t="s">
        <v>39</v>
      </c>
      <c r="B252" s="70" t="s">
        <v>1183</v>
      </c>
      <c r="C252" s="10" t="s">
        <v>881</v>
      </c>
      <c r="D252" s="72" t="s">
        <v>1184</v>
      </c>
      <c r="E252" s="2" t="s">
        <v>91</v>
      </c>
      <c r="F252" s="76" t="s">
        <v>402</v>
      </c>
      <c r="G252" s="107" t="s">
        <v>1199</v>
      </c>
      <c r="H252" s="70" t="s">
        <v>370</v>
      </c>
      <c r="I252" s="133">
        <f>VLOOKUP(H252,Dados!$B$2:$C$53,2,0)</f>
        <v>13</v>
      </c>
      <c r="J252" s="112">
        <f>VLOOKUP(H252,Dados!$B$2:$E$53,4,0)</f>
        <v>100</v>
      </c>
    </row>
    <row r="253" spans="1:10" ht="25.5" x14ac:dyDescent="0.2">
      <c r="A253" s="70" t="s">
        <v>39</v>
      </c>
      <c r="B253" s="70" t="s">
        <v>600</v>
      </c>
      <c r="C253" s="10" t="s">
        <v>601</v>
      </c>
      <c r="D253" s="72" t="s">
        <v>1189</v>
      </c>
      <c r="E253" s="2" t="s">
        <v>53</v>
      </c>
      <c r="F253" s="76" t="s">
        <v>402</v>
      </c>
      <c r="G253" s="107" t="s">
        <v>1210</v>
      </c>
      <c r="H253" s="70" t="s">
        <v>370</v>
      </c>
      <c r="I253" s="133">
        <f>VLOOKUP(H253,Dados!$B$2:$C$53,2,0)</f>
        <v>13</v>
      </c>
      <c r="J253" s="112">
        <f>VLOOKUP(H253,Dados!$B$2:$E$53,4,0)</f>
        <v>100</v>
      </c>
    </row>
    <row r="254" spans="1:10" ht="76.5" x14ac:dyDescent="0.2">
      <c r="A254" s="70" t="s">
        <v>10</v>
      </c>
      <c r="B254" s="70" t="s">
        <v>910</v>
      </c>
      <c r="C254" s="10" t="s">
        <v>1198</v>
      </c>
      <c r="D254" s="72" t="s">
        <v>1209</v>
      </c>
      <c r="E254" s="2" t="s">
        <v>222</v>
      </c>
      <c r="F254" s="76" t="s">
        <v>382</v>
      </c>
      <c r="G254" s="107" t="s">
        <v>1346</v>
      </c>
      <c r="H254" s="70" t="s">
        <v>370</v>
      </c>
      <c r="I254" s="133">
        <f>VLOOKUP(H254,Dados!$B$2:$C$53,2,0)</f>
        <v>13</v>
      </c>
      <c r="J254" s="112">
        <f>VLOOKUP(H254,Dados!$B$2:$E$53,4,0)</f>
        <v>100</v>
      </c>
    </row>
    <row r="255" spans="1:10" ht="12.75" x14ac:dyDescent="0.2">
      <c r="A255" s="70" t="s">
        <v>58</v>
      </c>
      <c r="B255" s="70" t="s">
        <v>805</v>
      </c>
      <c r="C255" s="10" t="s">
        <v>1205</v>
      </c>
      <c r="D255" s="72" t="s">
        <v>804</v>
      </c>
      <c r="E255" s="2" t="s">
        <v>91</v>
      </c>
      <c r="F255" s="76" t="s">
        <v>380</v>
      </c>
      <c r="G255" s="25" t="s">
        <v>1206</v>
      </c>
      <c r="H255" s="70" t="s">
        <v>362</v>
      </c>
      <c r="I255" s="133">
        <f>VLOOKUP(H255,Dados!$B$2:$C$53,2,0)</f>
        <v>1</v>
      </c>
      <c r="J255" s="112">
        <f>VLOOKUP(H255,Dados!$B$2:$E$53,4,0)</f>
        <v>5</v>
      </c>
    </row>
    <row r="256" spans="1:10" ht="25.5" x14ac:dyDescent="0.2">
      <c r="A256" s="70" t="s">
        <v>10</v>
      </c>
      <c r="B256" s="70" t="s">
        <v>1215</v>
      </c>
      <c r="C256" s="10" t="s">
        <v>1216</v>
      </c>
      <c r="D256" s="72" t="s">
        <v>904</v>
      </c>
      <c r="E256" s="2" t="s">
        <v>907</v>
      </c>
      <c r="F256" s="76" t="s">
        <v>380</v>
      </c>
      <c r="G256" s="25" t="s">
        <v>1217</v>
      </c>
      <c r="H256" s="70" t="s">
        <v>362</v>
      </c>
      <c r="I256" s="133">
        <f>VLOOKUP(H256,Dados!$B$2:$C$53,2,0)</f>
        <v>1</v>
      </c>
      <c r="J256" s="112">
        <f>VLOOKUP(H256,Dados!$B$2:$E$53,4,0)</f>
        <v>5</v>
      </c>
    </row>
    <row r="257" spans="1:10" ht="102" x14ac:dyDescent="0.2">
      <c r="A257" s="70" t="s">
        <v>58</v>
      </c>
      <c r="B257" s="70" t="s">
        <v>354</v>
      </c>
      <c r="C257" s="10" t="s">
        <v>1222</v>
      </c>
      <c r="D257" s="72" t="s">
        <v>1219</v>
      </c>
      <c r="E257" s="2" t="s">
        <v>102</v>
      </c>
      <c r="F257" s="76" t="s">
        <v>380</v>
      </c>
      <c r="G257" s="107" t="s">
        <v>1335</v>
      </c>
      <c r="H257" s="70" t="s">
        <v>388</v>
      </c>
      <c r="I257" s="133">
        <f>VLOOKUP(H257,Dados!$B$2:$C$53,2,0)</f>
        <v>8</v>
      </c>
      <c r="J257" s="112">
        <f>VLOOKUP(H257,Dados!$B$2:$E$53,4,0)</f>
        <v>60</v>
      </c>
    </row>
    <row r="258" spans="1:10" ht="24" x14ac:dyDescent="0.2">
      <c r="A258" s="70" t="s">
        <v>17</v>
      </c>
      <c r="B258" s="70" t="s">
        <v>1243</v>
      </c>
      <c r="C258" s="10" t="s">
        <v>1222</v>
      </c>
      <c r="D258" s="72" t="s">
        <v>1244</v>
      </c>
      <c r="E258" s="2" t="s">
        <v>86</v>
      </c>
      <c r="F258" s="76" t="s">
        <v>380</v>
      </c>
      <c r="G258" s="25" t="s">
        <v>1245</v>
      </c>
      <c r="H258" s="70" t="s">
        <v>362</v>
      </c>
      <c r="I258" s="133">
        <f>VLOOKUP(H258,Dados!$B$2:$C$53,2,0)</f>
        <v>1</v>
      </c>
      <c r="J258" s="112">
        <f>VLOOKUP(H258,Dados!$B$2:$E$53,4,0)</f>
        <v>5</v>
      </c>
    </row>
    <row r="259" spans="1:10" ht="38.25" x14ac:dyDescent="0.2">
      <c r="A259" s="70" t="s">
        <v>22</v>
      </c>
      <c r="B259" s="70" t="s">
        <v>1250</v>
      </c>
      <c r="C259" s="10" t="s">
        <v>1251</v>
      </c>
      <c r="D259" s="72" t="s">
        <v>1252</v>
      </c>
      <c r="E259" s="2" t="s">
        <v>91</v>
      </c>
      <c r="F259" s="76" t="s">
        <v>402</v>
      </c>
      <c r="G259" s="25" t="s">
        <v>1253</v>
      </c>
      <c r="H259" s="70" t="s">
        <v>387</v>
      </c>
      <c r="I259" s="133">
        <f>VLOOKUP(H259,Dados!$B$2:$C$53,2,0)</f>
        <v>10</v>
      </c>
      <c r="J259" s="112">
        <f>VLOOKUP(H259,Dados!$B$2:$E$53,4,0)</f>
        <v>80</v>
      </c>
    </row>
    <row r="260" spans="1:10" ht="25.5" x14ac:dyDescent="0.2">
      <c r="A260" s="70" t="s">
        <v>22</v>
      </c>
      <c r="B260" s="70" t="s">
        <v>1254</v>
      </c>
      <c r="C260" s="10" t="s">
        <v>1255</v>
      </c>
      <c r="D260" s="72" t="s">
        <v>1256</v>
      </c>
      <c r="E260" s="2" t="s">
        <v>91</v>
      </c>
      <c r="F260" s="76" t="s">
        <v>402</v>
      </c>
      <c r="G260" s="25" t="s">
        <v>1253</v>
      </c>
      <c r="H260" s="70" t="s">
        <v>387</v>
      </c>
      <c r="I260" s="133">
        <f>VLOOKUP(H260,Dados!$B$2:$C$53,2,0)</f>
        <v>10</v>
      </c>
      <c r="J260" s="112">
        <f>VLOOKUP(H260,Dados!$B$2:$E$53,4,0)</f>
        <v>80</v>
      </c>
    </row>
    <row r="261" spans="1:10" ht="25.5" x14ac:dyDescent="0.2">
      <c r="A261" s="70" t="s">
        <v>22</v>
      </c>
      <c r="B261" s="70" t="s">
        <v>1257</v>
      </c>
      <c r="C261" s="10" t="s">
        <v>1258</v>
      </c>
      <c r="D261" s="72" t="s">
        <v>1259</v>
      </c>
      <c r="E261" s="2" t="s">
        <v>222</v>
      </c>
      <c r="F261" s="76" t="s">
        <v>402</v>
      </c>
      <c r="G261" s="25" t="s">
        <v>1253</v>
      </c>
      <c r="H261" s="70" t="s">
        <v>387</v>
      </c>
      <c r="I261" s="133">
        <f>VLOOKUP(H261,Dados!$B$2:$C$53,2,0)</f>
        <v>10</v>
      </c>
      <c r="J261" s="112">
        <f>VLOOKUP(H261,Dados!$B$2:$E$53,4,0)</f>
        <v>80</v>
      </c>
    </row>
    <row r="262" spans="1:10" ht="25.5" x14ac:dyDescent="0.2">
      <c r="A262" s="70" t="s">
        <v>22</v>
      </c>
      <c r="B262" s="70" t="s">
        <v>1260</v>
      </c>
      <c r="C262" s="10" t="s">
        <v>1261</v>
      </c>
      <c r="D262" s="72" t="s">
        <v>1262</v>
      </c>
      <c r="E262" s="2" t="s">
        <v>91</v>
      </c>
      <c r="F262" s="76" t="s">
        <v>402</v>
      </c>
      <c r="G262" s="25" t="s">
        <v>1253</v>
      </c>
      <c r="H262" s="70" t="s">
        <v>387</v>
      </c>
      <c r="I262" s="133">
        <f>VLOOKUP(H262,Dados!$B$2:$C$53,2,0)</f>
        <v>10</v>
      </c>
      <c r="J262" s="112">
        <f>VLOOKUP(H262,Dados!$B$2:$E$53,4,0)</f>
        <v>80</v>
      </c>
    </row>
    <row r="263" spans="1:10" ht="25.5" x14ac:dyDescent="0.2">
      <c r="A263" s="70" t="s">
        <v>22</v>
      </c>
      <c r="B263" s="70" t="s">
        <v>1263</v>
      </c>
      <c r="C263" s="10" t="s">
        <v>1255</v>
      </c>
      <c r="D263" s="72" t="s">
        <v>1264</v>
      </c>
      <c r="E263" s="2" t="s">
        <v>91</v>
      </c>
      <c r="F263" s="76" t="s">
        <v>402</v>
      </c>
      <c r="G263" s="25" t="s">
        <v>1253</v>
      </c>
      <c r="H263" s="70" t="s">
        <v>387</v>
      </c>
      <c r="I263" s="133">
        <f>VLOOKUP(H263,Dados!$B$2:$C$53,2,0)</f>
        <v>10</v>
      </c>
      <c r="J263" s="112">
        <f>VLOOKUP(H263,Dados!$B$2:$E$53,4,0)</f>
        <v>80</v>
      </c>
    </row>
    <row r="264" spans="1:10" ht="25.5" x14ac:dyDescent="0.2">
      <c r="A264" s="70" t="s">
        <v>22</v>
      </c>
      <c r="B264" s="70" t="s">
        <v>1265</v>
      </c>
      <c r="C264" s="10" t="s">
        <v>1255</v>
      </c>
      <c r="D264" s="72" t="s">
        <v>1266</v>
      </c>
      <c r="E264" s="2" t="s">
        <v>91</v>
      </c>
      <c r="F264" s="76" t="s">
        <v>402</v>
      </c>
      <c r="G264" s="25" t="s">
        <v>1253</v>
      </c>
      <c r="H264" s="70" t="s">
        <v>387</v>
      </c>
      <c r="I264" s="133">
        <f>VLOOKUP(H264,Dados!$B$2:$C$53,2,0)</f>
        <v>10</v>
      </c>
      <c r="J264" s="112">
        <f>VLOOKUP(H264,Dados!$B$2:$E$53,4,0)</f>
        <v>80</v>
      </c>
    </row>
    <row r="265" spans="1:10" ht="25.5" x14ac:dyDescent="0.2">
      <c r="A265" s="70" t="s">
        <v>22</v>
      </c>
      <c r="B265" s="70" t="s">
        <v>1267</v>
      </c>
      <c r="C265" s="10" t="s">
        <v>1268</v>
      </c>
      <c r="D265" s="72" t="s">
        <v>1269</v>
      </c>
      <c r="E265" s="2" t="s">
        <v>179</v>
      </c>
      <c r="F265" s="76" t="s">
        <v>402</v>
      </c>
      <c r="G265" s="25" t="s">
        <v>1253</v>
      </c>
      <c r="H265" s="70" t="s">
        <v>387</v>
      </c>
      <c r="I265" s="133">
        <f>VLOOKUP(H265,Dados!$B$2:$C$53,2,0)</f>
        <v>10</v>
      </c>
      <c r="J265" s="112">
        <f>VLOOKUP(H265,Dados!$B$2:$E$53,4,0)</f>
        <v>80</v>
      </c>
    </row>
    <row r="266" spans="1:10" ht="38.25" x14ac:dyDescent="0.2">
      <c r="A266" s="70" t="s">
        <v>10</v>
      </c>
      <c r="B266" s="70" t="s">
        <v>1271</v>
      </c>
      <c r="C266" s="10" t="s">
        <v>1272</v>
      </c>
      <c r="D266" s="72" t="s">
        <v>1299</v>
      </c>
      <c r="E266" s="2" t="s">
        <v>16</v>
      </c>
      <c r="F266" s="76" t="s">
        <v>401</v>
      </c>
      <c r="G266" s="107" t="s">
        <v>1300</v>
      </c>
      <c r="H266" s="70" t="s">
        <v>366</v>
      </c>
      <c r="I266" s="133">
        <f>VLOOKUP(H266,Dados!$B$2:$C$53,2,0)</f>
        <v>7</v>
      </c>
      <c r="J266" s="112">
        <f>VLOOKUP(H266,Dados!$B$2:$E$53,4,0)</f>
        <v>50</v>
      </c>
    </row>
    <row r="267" spans="1:10" ht="76.5" x14ac:dyDescent="0.2">
      <c r="A267" s="70" t="s">
        <v>39</v>
      </c>
      <c r="B267" s="70" t="s">
        <v>1279</v>
      </c>
      <c r="C267" s="10" t="s">
        <v>1280</v>
      </c>
      <c r="D267" s="72" t="s">
        <v>1289</v>
      </c>
      <c r="E267" s="2" t="s">
        <v>16</v>
      </c>
      <c r="F267" s="76" t="s">
        <v>401</v>
      </c>
      <c r="G267" s="107" t="s">
        <v>1308</v>
      </c>
      <c r="H267" s="70" t="s">
        <v>387</v>
      </c>
      <c r="I267" s="133">
        <f>VLOOKUP(H267,Dados!$B$2:$C$53,2,0)</f>
        <v>10</v>
      </c>
      <c r="J267" s="112">
        <f>VLOOKUP(H267,Dados!$B$2:$E$53,4,0)</f>
        <v>80</v>
      </c>
    </row>
    <row r="268" spans="1:10" ht="38.25" x14ac:dyDescent="0.2">
      <c r="A268" s="70" t="s">
        <v>10</v>
      </c>
      <c r="B268" s="70" t="s">
        <v>1281</v>
      </c>
      <c r="C268" s="10" t="s">
        <v>1282</v>
      </c>
      <c r="D268" s="72" t="s">
        <v>1330</v>
      </c>
      <c r="E268" s="2" t="s">
        <v>16</v>
      </c>
      <c r="F268" s="76" t="s">
        <v>401</v>
      </c>
      <c r="G268" s="107" t="s">
        <v>1331</v>
      </c>
      <c r="H268" s="70" t="s">
        <v>366</v>
      </c>
      <c r="I268" s="133">
        <f>VLOOKUP(H268,Dados!$B$2:$C$53,2,0)</f>
        <v>7</v>
      </c>
      <c r="J268" s="112">
        <f>VLOOKUP(H268,Dados!$B$2:$E$53,4,0)</f>
        <v>50</v>
      </c>
    </row>
    <row r="269" spans="1:10" ht="38.25" x14ac:dyDescent="0.2">
      <c r="A269" s="70" t="s">
        <v>39</v>
      </c>
      <c r="B269" s="70" t="s">
        <v>1286</v>
      </c>
      <c r="C269" s="10" t="s">
        <v>1287</v>
      </c>
      <c r="D269" s="72" t="s">
        <v>633</v>
      </c>
      <c r="E269" s="2" t="s">
        <v>16</v>
      </c>
      <c r="F269" s="76" t="s">
        <v>382</v>
      </c>
      <c r="G269" s="107" t="s">
        <v>1309</v>
      </c>
      <c r="H269" s="70" t="s">
        <v>364</v>
      </c>
      <c r="I269" s="133">
        <f>VLOOKUP(H269,Dados!$B$2:$C$53,2,0)</f>
        <v>5</v>
      </c>
      <c r="J269" s="112">
        <f>VLOOKUP(H269,Dados!$B$2:$E$53,4,0)</f>
        <v>30</v>
      </c>
    </row>
    <row r="270" spans="1:10" ht="25.5" x14ac:dyDescent="0.2">
      <c r="A270" s="70" t="s">
        <v>22</v>
      </c>
      <c r="B270" s="70" t="s">
        <v>1290</v>
      </c>
      <c r="C270" s="10" t="s">
        <v>1298</v>
      </c>
      <c r="D270" s="72" t="s">
        <v>1291</v>
      </c>
      <c r="E270" s="2" t="s">
        <v>91</v>
      </c>
      <c r="F270" s="76" t="s">
        <v>402</v>
      </c>
      <c r="G270" s="25" t="s">
        <v>1292</v>
      </c>
      <c r="H270" s="70" t="s">
        <v>387</v>
      </c>
      <c r="I270" s="133">
        <f>VLOOKUP(H270,Dados!$B$2:$C$53,2,0)</f>
        <v>10</v>
      </c>
      <c r="J270" s="112">
        <f>VLOOKUP(H270,Dados!$B$2:$E$53,4,0)</f>
        <v>80</v>
      </c>
    </row>
    <row r="271" spans="1:10" ht="36" x14ac:dyDescent="0.2">
      <c r="A271" s="70" t="s">
        <v>22</v>
      </c>
      <c r="B271" s="70" t="s">
        <v>1065</v>
      </c>
      <c r="C271" s="10" t="s">
        <v>1297</v>
      </c>
      <c r="D271" s="72" t="s">
        <v>1293</v>
      </c>
      <c r="E271" s="2" t="s">
        <v>91</v>
      </c>
      <c r="F271" s="76" t="s">
        <v>402</v>
      </c>
      <c r="G271" s="25" t="s">
        <v>1292</v>
      </c>
      <c r="H271" s="70" t="s">
        <v>387</v>
      </c>
      <c r="I271" s="133">
        <f>VLOOKUP(H271,Dados!$B$2:$C$53,2,0)</f>
        <v>10</v>
      </c>
      <c r="J271" s="112">
        <f>VLOOKUP(H271,Dados!$B$2:$E$53,4,0)</f>
        <v>80</v>
      </c>
    </row>
    <row r="272" spans="1:10" ht="36" x14ac:dyDescent="0.2">
      <c r="A272" s="70" t="s">
        <v>22</v>
      </c>
      <c r="B272" s="70" t="s">
        <v>1294</v>
      </c>
      <c r="C272" s="10" t="s">
        <v>1295</v>
      </c>
      <c r="D272" s="72" t="s">
        <v>1296</v>
      </c>
      <c r="E272" s="2" t="s">
        <v>91</v>
      </c>
      <c r="F272" s="76" t="s">
        <v>402</v>
      </c>
      <c r="G272" s="25" t="s">
        <v>1292</v>
      </c>
      <c r="H272" s="70" t="s">
        <v>387</v>
      </c>
      <c r="I272" s="133">
        <f>VLOOKUP(H272,Dados!$B$2:$C$53,2,0)</f>
        <v>10</v>
      </c>
      <c r="J272" s="112">
        <f>VLOOKUP(H272,Dados!$B$2:$E$53,4,0)</f>
        <v>80</v>
      </c>
    </row>
    <row r="273" spans="1:10" ht="38.25" x14ac:dyDescent="0.2">
      <c r="A273" s="70" t="s">
        <v>39</v>
      </c>
      <c r="B273" s="70" t="s">
        <v>1302</v>
      </c>
      <c r="C273" s="10" t="s">
        <v>845</v>
      </c>
      <c r="D273" s="72" t="s">
        <v>1303</v>
      </c>
      <c r="E273" s="2" t="s">
        <v>210</v>
      </c>
      <c r="F273" s="76" t="s">
        <v>401</v>
      </c>
      <c r="G273" s="107" t="s">
        <v>1307</v>
      </c>
      <c r="H273" s="70" t="s">
        <v>629</v>
      </c>
      <c r="I273" s="133">
        <f>VLOOKUP(H273,Dados!$B$2:$C$53,2,0)</f>
        <v>4</v>
      </c>
      <c r="J273" s="112">
        <f>VLOOKUP(H273,Dados!$B$2:$E$53,4,0)</f>
        <v>20</v>
      </c>
    </row>
    <row r="274" spans="1:10" ht="25.5" x14ac:dyDescent="0.2">
      <c r="A274" s="70" t="s">
        <v>22</v>
      </c>
      <c r="B274" s="70" t="s">
        <v>1304</v>
      </c>
      <c r="C274" s="10" t="s">
        <v>841</v>
      </c>
      <c r="D274" s="72" t="s">
        <v>1311</v>
      </c>
      <c r="E274" s="2" t="s">
        <v>164</v>
      </c>
      <c r="F274" s="76" t="s">
        <v>402</v>
      </c>
      <c r="G274" s="107" t="s">
        <v>1312</v>
      </c>
      <c r="H274" s="70" t="s">
        <v>370</v>
      </c>
      <c r="I274" s="133">
        <f>VLOOKUP(H274,Dados!$B$2:$C$53,2,0)</f>
        <v>13</v>
      </c>
      <c r="J274" s="112">
        <f>VLOOKUP(H274,Dados!$B$2:$E$53,4,0)</f>
        <v>100</v>
      </c>
    </row>
    <row r="275" spans="1:10" ht="25.5" x14ac:dyDescent="0.2">
      <c r="A275" s="70" t="s">
        <v>22</v>
      </c>
      <c r="B275" s="70" t="s">
        <v>1305</v>
      </c>
      <c r="C275" s="10" t="s">
        <v>340</v>
      </c>
      <c r="D275" s="72" t="s">
        <v>1306</v>
      </c>
      <c r="E275" s="2" t="s">
        <v>127</v>
      </c>
      <c r="F275" s="76" t="s">
        <v>402</v>
      </c>
      <c r="G275" s="25" t="s">
        <v>1292</v>
      </c>
      <c r="H275" s="70" t="s">
        <v>387</v>
      </c>
      <c r="I275" s="133">
        <f>VLOOKUP(H275,Dados!$B$2:$C$53,2,0)</f>
        <v>10</v>
      </c>
      <c r="J275" s="112">
        <f>VLOOKUP(H275,Dados!$B$2:$E$53,4,0)</f>
        <v>80</v>
      </c>
    </row>
    <row r="276" spans="1:10" ht="25.5" x14ac:dyDescent="0.2">
      <c r="A276" s="70" t="s">
        <v>22</v>
      </c>
      <c r="B276" s="70" t="s">
        <v>1313</v>
      </c>
      <c r="C276" s="10" t="s">
        <v>1314</v>
      </c>
      <c r="D276" s="72" t="s">
        <v>1315</v>
      </c>
      <c r="E276" s="2" t="s">
        <v>91</v>
      </c>
      <c r="F276" s="76" t="s">
        <v>402</v>
      </c>
      <c r="G276" s="25" t="s">
        <v>1316</v>
      </c>
      <c r="H276" s="70" t="s">
        <v>387</v>
      </c>
      <c r="I276" s="133">
        <f>VLOOKUP(H276,Dados!$B$2:$C$53,2,0)</f>
        <v>10</v>
      </c>
      <c r="J276" s="112">
        <f>VLOOKUP(H276,Dados!$B$2:$E$53,4,0)</f>
        <v>80</v>
      </c>
    </row>
    <row r="277" spans="1:10" ht="25.5" x14ac:dyDescent="0.2">
      <c r="A277" s="70" t="s">
        <v>22</v>
      </c>
      <c r="B277" s="70" t="s">
        <v>1317</v>
      </c>
      <c r="C277" s="10" t="s">
        <v>1318</v>
      </c>
      <c r="D277" s="72" t="s">
        <v>1319</v>
      </c>
      <c r="E277" s="2" t="s">
        <v>252</v>
      </c>
      <c r="F277" s="76" t="s">
        <v>402</v>
      </c>
      <c r="G277" s="25" t="s">
        <v>1316</v>
      </c>
      <c r="H277" s="70" t="s">
        <v>387</v>
      </c>
      <c r="I277" s="133">
        <f>VLOOKUP(H277,Dados!$B$2:$C$53,2,0)</f>
        <v>10</v>
      </c>
      <c r="J277" s="112">
        <f>VLOOKUP(H277,Dados!$B$2:$E$53,4,0)</f>
        <v>80</v>
      </c>
    </row>
    <row r="278" spans="1:10" ht="38.25" x14ac:dyDescent="0.2">
      <c r="A278" s="70" t="s">
        <v>17</v>
      </c>
      <c r="B278" s="70" t="s">
        <v>1321</v>
      </c>
      <c r="C278" s="10" t="s">
        <v>1322</v>
      </c>
      <c r="D278" s="72" t="s">
        <v>1323</v>
      </c>
      <c r="E278" s="2" t="s">
        <v>67</v>
      </c>
      <c r="F278" s="76" t="s">
        <v>401</v>
      </c>
      <c r="G278" s="107" t="s">
        <v>1332</v>
      </c>
      <c r="H278" s="70" t="s">
        <v>366</v>
      </c>
      <c r="I278" s="133">
        <f>VLOOKUP(H278,Dados!$B$2:$C$53,2,0)</f>
        <v>7</v>
      </c>
      <c r="J278" s="112">
        <f>VLOOKUP(H278,Dados!$B$2:$E$53,4,0)</f>
        <v>50</v>
      </c>
    </row>
    <row r="279" spans="1:10" ht="25.5" x14ac:dyDescent="0.2">
      <c r="A279" s="70" t="s">
        <v>10</v>
      </c>
      <c r="B279" s="70" t="s">
        <v>1325</v>
      </c>
      <c r="C279" s="10" t="s">
        <v>1326</v>
      </c>
      <c r="D279" s="72" t="s">
        <v>1327</v>
      </c>
      <c r="E279" s="2" t="s">
        <v>16</v>
      </c>
      <c r="F279" s="76" t="s">
        <v>401</v>
      </c>
      <c r="G279" s="25" t="s">
        <v>1316</v>
      </c>
      <c r="H279" s="70" t="s">
        <v>362</v>
      </c>
      <c r="I279" s="133">
        <f>VLOOKUP(H279,Dados!$B$2:$C$53,2,0)</f>
        <v>1</v>
      </c>
      <c r="J279" s="112">
        <f>VLOOKUP(H279,Dados!$B$2:$E$53,4,0)</f>
        <v>5</v>
      </c>
    </row>
    <row r="280" spans="1:10" ht="12.75" x14ac:dyDescent="0.2">
      <c r="A280" s="70" t="s">
        <v>17</v>
      </c>
      <c r="B280" s="70" t="s">
        <v>113</v>
      </c>
      <c r="C280" s="10" t="s">
        <v>140</v>
      </c>
      <c r="D280" s="72" t="s">
        <v>478</v>
      </c>
      <c r="E280" s="2" t="s">
        <v>360</v>
      </c>
      <c r="F280" s="76" t="s">
        <v>381</v>
      </c>
      <c r="G280" s="25" t="s">
        <v>1316</v>
      </c>
      <c r="H280" s="70" t="s">
        <v>362</v>
      </c>
      <c r="I280" s="133">
        <f>VLOOKUP(H280,Dados!$B$2:$C$53,2,0)</f>
        <v>1</v>
      </c>
      <c r="J280" s="112">
        <f>VLOOKUP(H280,Dados!$B$2:$E$53,4,0)</f>
        <v>5</v>
      </c>
    </row>
    <row r="281" spans="1:10" ht="25.5" x14ac:dyDescent="0.2">
      <c r="A281" s="70" t="s">
        <v>22</v>
      </c>
      <c r="B281" s="70" t="s">
        <v>1336</v>
      </c>
      <c r="C281" s="10" t="s">
        <v>1298</v>
      </c>
      <c r="D281" s="72" t="s">
        <v>1337</v>
      </c>
      <c r="E281" s="2" t="s">
        <v>91</v>
      </c>
      <c r="F281" s="76" t="s">
        <v>402</v>
      </c>
      <c r="G281" s="25" t="s">
        <v>1338</v>
      </c>
      <c r="H281" s="70" t="s">
        <v>387</v>
      </c>
      <c r="I281" s="133">
        <f>VLOOKUP(H281,Dados!$B$2:$C$53,2,0)</f>
        <v>10</v>
      </c>
      <c r="J281" s="112">
        <f>VLOOKUP(H281,Dados!$B$2:$E$53,4,0)</f>
        <v>80</v>
      </c>
    </row>
    <row r="282" spans="1:10" ht="38.25" x14ac:dyDescent="0.2">
      <c r="A282" s="70" t="s">
        <v>39</v>
      </c>
      <c r="B282" s="70" t="s">
        <v>1340</v>
      </c>
      <c r="C282" s="10" t="s">
        <v>1341</v>
      </c>
      <c r="D282" s="72" t="s">
        <v>1348</v>
      </c>
      <c r="E282" s="2" t="s">
        <v>155</v>
      </c>
      <c r="F282" s="76" t="s">
        <v>401</v>
      </c>
      <c r="G282" s="107" t="s">
        <v>1347</v>
      </c>
      <c r="H282" s="70" t="s">
        <v>366</v>
      </c>
      <c r="I282" s="133">
        <f>VLOOKUP(H282,Dados!$B$2:$C$53,2,0)</f>
        <v>7</v>
      </c>
      <c r="J282" s="112">
        <f>VLOOKUP(H282,Dados!$B$2:$E$53,4,0)</f>
        <v>50</v>
      </c>
    </row>
    <row r="283" spans="1:10" ht="25.5" x14ac:dyDescent="0.2">
      <c r="A283" s="70" t="s">
        <v>22</v>
      </c>
      <c r="B283" s="70" t="s">
        <v>1005</v>
      </c>
      <c r="C283" s="10" t="s">
        <v>1006</v>
      </c>
      <c r="D283" s="72" t="s">
        <v>1342</v>
      </c>
      <c r="E283" s="2" t="s">
        <v>77</v>
      </c>
      <c r="F283" s="76" t="s">
        <v>402</v>
      </c>
      <c r="G283" s="25" t="s">
        <v>1338</v>
      </c>
      <c r="H283" s="70" t="s">
        <v>387</v>
      </c>
      <c r="I283" s="133">
        <f>VLOOKUP(H283,Dados!$B$2:$C$53,2,0)</f>
        <v>10</v>
      </c>
      <c r="J283" s="112">
        <f>VLOOKUP(H283,Dados!$B$2:$E$53,4,0)</f>
        <v>80</v>
      </c>
    </row>
    <row r="284" spans="1:10" ht="38.25" x14ac:dyDescent="0.2">
      <c r="A284" s="70" t="s">
        <v>22</v>
      </c>
      <c r="B284" s="70" t="s">
        <v>1343</v>
      </c>
      <c r="C284" s="10" t="s">
        <v>1344</v>
      </c>
      <c r="D284" s="72" t="s">
        <v>1345</v>
      </c>
      <c r="E284" s="2" t="s">
        <v>91</v>
      </c>
      <c r="F284" s="76" t="s">
        <v>402</v>
      </c>
      <c r="G284" s="25" t="s">
        <v>1338</v>
      </c>
      <c r="H284" s="70" t="s">
        <v>387</v>
      </c>
      <c r="I284" s="133">
        <f>VLOOKUP(H284,Dados!$B$2:$C$53,2,0)</f>
        <v>10</v>
      </c>
      <c r="J284" s="112">
        <f>VLOOKUP(H284,Dados!$B$2:$E$53,4,0)</f>
        <v>80</v>
      </c>
    </row>
  </sheetData>
  <autoFilter ref="A4:K284"/>
  <mergeCells count="2">
    <mergeCell ref="G2:I2"/>
    <mergeCell ref="A1:I1"/>
  </mergeCells>
  <pageMargins left="0.25" right="0.25" top="0.75" bottom="0.75" header="0.3" footer="0.3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8219" r:id="rId4" name="TextBox8">
          <controlPr defaultSize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66675</xdr:colOff>
                <xdr:row>3</xdr:row>
                <xdr:rowOff>0</xdr:rowOff>
              </to>
            </anchor>
          </controlPr>
        </control>
      </mc:Choice>
      <mc:Fallback>
        <control shapeId="8219" r:id="rId4" name="TextBox8"/>
      </mc:Fallback>
    </mc:AlternateContent>
    <mc:AlternateContent xmlns:mc="http://schemas.openxmlformats.org/markup-compatibility/2006">
      <mc:Choice Requires="x14">
        <control shapeId="8218" r:id="rId6" name="TextBox7">
          <controlPr defaultSize="0" autoLine="0" r:id="rId7">
            <anchor moveWithCells="1">
              <from>
                <xdr:col>6</xdr:col>
                <xdr:colOff>9525</xdr:colOff>
                <xdr:row>2</xdr:row>
                <xdr:rowOff>0</xdr:rowOff>
              </from>
              <to>
                <xdr:col>6</xdr:col>
                <xdr:colOff>1838325</xdr:colOff>
                <xdr:row>3</xdr:row>
                <xdr:rowOff>0</xdr:rowOff>
              </to>
            </anchor>
          </controlPr>
        </control>
      </mc:Choice>
      <mc:Fallback>
        <control shapeId="8218" r:id="rId6" name="TextBox7"/>
      </mc:Fallback>
    </mc:AlternateContent>
    <mc:AlternateContent xmlns:mc="http://schemas.openxmlformats.org/markup-compatibility/2006">
      <mc:Choice Requires="x14">
        <control shapeId="8217" r:id="rId8" name="TextBox6">
          <controlPr defaultSize="0" autoLine="0" r:id="rId9">
            <anchor moveWithCells="1">
              <from>
                <xdr:col>4</xdr:col>
                <xdr:colOff>561975</xdr:colOff>
                <xdr:row>2</xdr:row>
                <xdr:rowOff>0</xdr:rowOff>
              </from>
              <to>
                <xdr:col>5</xdr:col>
                <xdr:colOff>781050</xdr:colOff>
                <xdr:row>3</xdr:row>
                <xdr:rowOff>0</xdr:rowOff>
              </to>
            </anchor>
          </controlPr>
        </control>
      </mc:Choice>
      <mc:Fallback>
        <control shapeId="8217" r:id="rId8" name="TextBox6"/>
      </mc:Fallback>
    </mc:AlternateContent>
    <mc:AlternateContent xmlns:mc="http://schemas.openxmlformats.org/markup-compatibility/2006">
      <mc:Choice Requires="x14">
        <control shapeId="8216" r:id="rId10" name="TextBox5">
          <controlPr defaultSize="0" autoLine="0" r:id="rId11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552450</xdr:colOff>
                <xdr:row>3</xdr:row>
                <xdr:rowOff>0</xdr:rowOff>
              </to>
            </anchor>
          </controlPr>
        </control>
      </mc:Choice>
      <mc:Fallback>
        <control shapeId="8216" r:id="rId10" name="TextBox5"/>
      </mc:Fallback>
    </mc:AlternateContent>
    <mc:AlternateContent xmlns:mc="http://schemas.openxmlformats.org/markup-compatibility/2006">
      <mc:Choice Requires="x14">
        <control shapeId="8215" r:id="rId12" name="TextBox4">
          <controlPr defaultSize="0" autoLine="0" r:id="rId1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8215" r:id="rId12" name="TextBox4"/>
      </mc:Fallback>
    </mc:AlternateContent>
    <mc:AlternateContent xmlns:mc="http://schemas.openxmlformats.org/markup-compatibility/2006">
      <mc:Choice Requires="x14">
        <control shapeId="8214" r:id="rId14" name="TextBox3">
          <controlPr defaultSize="0" autoLine="0" r:id="rId1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8214" r:id="rId14" name="TextBox3"/>
      </mc:Fallback>
    </mc:AlternateContent>
    <mc:AlternateContent xmlns:mc="http://schemas.openxmlformats.org/markup-compatibility/2006">
      <mc:Choice Requires="x14">
        <control shapeId="8213" r:id="rId16" name="TextBox2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1828800</xdr:colOff>
                <xdr:row>3</xdr:row>
                <xdr:rowOff>0</xdr:rowOff>
              </to>
            </anchor>
          </controlPr>
        </control>
      </mc:Choice>
      <mc:Fallback>
        <control shapeId="8213" r:id="rId16" name="TextBox2"/>
      </mc:Fallback>
    </mc:AlternateContent>
    <mc:AlternateContent xmlns:mc="http://schemas.openxmlformats.org/markup-compatibility/2006">
      <mc:Choice Requires="x14">
        <control shapeId="8212" r:id="rId17" name="TextBox1">
          <controlPr defaultSize="0" autoLine="0" autoPict="0" r:id="rId1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8212" r:id="rId17" name="TextBox1"/>
      </mc:Fallback>
    </mc:AlternateContent>
    <mc:AlternateContent xmlns:mc="http://schemas.openxmlformats.org/markup-compatibility/2006">
      <mc:Choice Requires="x14">
        <control shapeId="8223" r:id="rId19" name="Button 31">
          <controlPr defaultSize="0" print="0" autoFill="0" autoPict="0" macro="[0]!Plan1.Limpar">
            <anchor moveWithCells="1" sizeWithCells="1">
              <from>
                <xdr:col>7</xdr:col>
                <xdr:colOff>9525</xdr:colOff>
                <xdr:row>1</xdr:row>
                <xdr:rowOff>914400</xdr:rowOff>
              </from>
              <to>
                <xdr:col>7</xdr:col>
                <xdr:colOff>1438275</xdr:colOff>
                <xdr:row>1</xdr:row>
                <xdr:rowOff>1123950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9" r:id="rId20" name="Button 37">
          <controlPr defaultSize="0" print="0" autoFill="0" autoPict="0" macro="[0]!Macro1">
            <anchor moveWithCells="1" sizeWithCells="1">
              <from>
                <xdr:col>7</xdr:col>
                <xdr:colOff>19050</xdr:colOff>
                <xdr:row>1</xdr:row>
                <xdr:rowOff>714375</xdr:rowOff>
              </from>
              <to>
                <xdr:col>8</xdr:col>
                <xdr:colOff>0</xdr:colOff>
                <xdr:row>1</xdr:row>
                <xdr:rowOff>895350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21" name="Button 38">
          <controlPr defaultSize="0" print="0" autoFill="0" autoPict="0" macro="[0]!Macro8">
            <anchor moveWithCells="1" sizeWithCells="1">
              <from>
                <xdr:col>7</xdr:col>
                <xdr:colOff>9525</xdr:colOff>
                <xdr:row>1</xdr:row>
                <xdr:rowOff>38100</xdr:rowOff>
              </from>
              <to>
                <xdr:col>7</xdr:col>
                <xdr:colOff>685800</xdr:colOff>
                <xdr:row>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22" name="Button 39">
          <controlPr defaultSize="0" print="0" autoFill="0" autoPict="0" macro="[0]!Macro9">
            <anchor moveWithCells="1" sizeWithCells="1">
              <from>
                <xdr:col>7</xdr:col>
                <xdr:colOff>9525</xdr:colOff>
                <xdr:row>1</xdr:row>
                <xdr:rowOff>247650</xdr:rowOff>
              </from>
              <to>
                <xdr:col>7</xdr:col>
                <xdr:colOff>685800</xdr:colOff>
                <xdr:row>1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Dados!$G$2:$G$6</xm:f>
          </x14:formula1>
          <xm:sqref>A5:A1048576</xm:sqref>
        </x14:dataValidation>
        <x14:dataValidation type="list" allowBlank="1" showInputMessage="1" showErrorMessage="1">
          <x14:formula1>
            <xm:f>Dados!$H$2:$H$8</xm:f>
          </x14:formula1>
          <xm:sqref>F5:F1048576</xm:sqref>
        </x14:dataValidation>
        <x14:dataValidation type="list" allowBlank="1" showInputMessage="1" showErrorMessage="1">
          <x14:formula1>
            <xm:f>Dados!$B$2:$B$14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I15"/>
  <sheetViews>
    <sheetView workbookViewId="0">
      <selection activeCell="E2" sqref="E2:E15"/>
    </sheetView>
  </sheetViews>
  <sheetFormatPr defaultRowHeight="12.75" x14ac:dyDescent="0.2"/>
  <cols>
    <col min="1" max="1" width="3" bestFit="1" customWidth="1"/>
    <col min="2" max="2" width="28.85546875" bestFit="1" customWidth="1"/>
    <col min="3" max="3" width="3" bestFit="1" customWidth="1"/>
    <col min="4" max="4" width="4.140625" bestFit="1" customWidth="1"/>
    <col min="5" max="6" width="4.140625" customWidth="1"/>
    <col min="7" max="7" width="10.140625" bestFit="1" customWidth="1"/>
    <col min="8" max="8" width="17.5703125" bestFit="1" customWidth="1"/>
    <col min="9" max="9" width="7" bestFit="1" customWidth="1"/>
  </cols>
  <sheetData>
    <row r="1" spans="2:9" x14ac:dyDescent="0.2">
      <c r="B1" s="26" t="s">
        <v>356</v>
      </c>
      <c r="C1" s="58" t="s">
        <v>361</v>
      </c>
      <c r="D1" s="58" t="s">
        <v>357</v>
      </c>
      <c r="E1" s="58" t="s">
        <v>1349</v>
      </c>
      <c r="F1" s="26"/>
      <c r="G1" s="26" t="s">
        <v>375</v>
      </c>
      <c r="H1" s="53" t="s">
        <v>376</v>
      </c>
      <c r="I1" s="58" t="s">
        <v>490</v>
      </c>
    </row>
    <row r="2" spans="2:9" x14ac:dyDescent="0.2">
      <c r="B2" s="6" t="s">
        <v>362</v>
      </c>
      <c r="C2" s="59">
        <v>1</v>
      </c>
      <c r="D2" s="111">
        <f>COUNTIF(Processos!I:I,Dados!C2)</f>
        <v>11</v>
      </c>
      <c r="E2" s="111">
        <v>5</v>
      </c>
      <c r="F2" s="110"/>
      <c r="G2" s="2" t="s">
        <v>17</v>
      </c>
      <c r="H2" s="2" t="s">
        <v>380</v>
      </c>
      <c r="I2" s="59">
        <f xml:space="preserve"> COUNTIFS(Processos!F:F,H2,Processos!I:I,"&lt;12")</f>
        <v>16</v>
      </c>
    </row>
    <row r="3" spans="2:9" x14ac:dyDescent="0.2">
      <c r="B3" s="57" t="s">
        <v>363</v>
      </c>
      <c r="C3" s="59">
        <v>2</v>
      </c>
      <c r="D3" s="111">
        <f>COUNTIF(Processos!I:I,Dados!C3)</f>
        <v>0</v>
      </c>
      <c r="E3" s="111">
        <v>10</v>
      </c>
      <c r="F3" s="110"/>
      <c r="G3" s="2" t="s">
        <v>39</v>
      </c>
      <c r="H3" s="2" t="s">
        <v>381</v>
      </c>
      <c r="I3" s="59">
        <f xml:space="preserve"> COUNTIFS(Processos!F:F,H3,Processos!I:I,"&lt;12")</f>
        <v>8</v>
      </c>
    </row>
    <row r="4" spans="2:9" x14ac:dyDescent="0.2">
      <c r="B4" s="57" t="s">
        <v>365</v>
      </c>
      <c r="C4" s="59">
        <v>3</v>
      </c>
      <c r="D4" s="111">
        <f>COUNTIF(Processos!I:I,Dados!C4)</f>
        <v>0</v>
      </c>
      <c r="E4" s="111">
        <v>15</v>
      </c>
      <c r="F4" s="110"/>
      <c r="G4" s="2" t="s">
        <v>58</v>
      </c>
      <c r="H4" s="2" t="s">
        <v>382</v>
      </c>
      <c r="I4" s="59">
        <f xml:space="preserve"> COUNTIFS(Processos!F:F,H4,Processos!I:I,"&lt;12")</f>
        <v>6</v>
      </c>
    </row>
    <row r="5" spans="2:9" x14ac:dyDescent="0.2">
      <c r="B5" s="6" t="s">
        <v>629</v>
      </c>
      <c r="C5" s="59">
        <v>4</v>
      </c>
      <c r="D5" s="111">
        <f>COUNTIF(Processos!I:I,Dados!C5)</f>
        <v>3</v>
      </c>
      <c r="E5" s="111">
        <v>20</v>
      </c>
      <c r="F5" s="110"/>
      <c r="G5" s="2" t="s">
        <v>10</v>
      </c>
      <c r="H5" s="2" t="s">
        <v>383</v>
      </c>
      <c r="I5" s="59">
        <f xml:space="preserve"> COUNTIFS(Processos!F:F,H5,Processos!I:I,"&lt;12")</f>
        <v>0</v>
      </c>
    </row>
    <row r="6" spans="2:9" x14ac:dyDescent="0.2">
      <c r="B6" s="6" t="s">
        <v>364</v>
      </c>
      <c r="C6" s="59">
        <v>5</v>
      </c>
      <c r="D6" s="111">
        <f>COUNTIF(Processos!I:I,Dados!C6)</f>
        <v>2</v>
      </c>
      <c r="E6" s="111">
        <v>30</v>
      </c>
      <c r="F6" s="110"/>
      <c r="G6" s="4" t="s">
        <v>22</v>
      </c>
      <c r="H6" s="4" t="s">
        <v>401</v>
      </c>
      <c r="I6" s="59">
        <f xml:space="preserve"> COUNTIFS(Processos!F:F,H6,Processos!I:I,"&lt;12")</f>
        <v>12</v>
      </c>
    </row>
    <row r="7" spans="2:9" x14ac:dyDescent="0.2">
      <c r="B7" s="6" t="s">
        <v>367</v>
      </c>
      <c r="C7" s="59">
        <v>6</v>
      </c>
      <c r="D7" s="111">
        <f>COUNTIF(Processos!I:I,Dados!C7)</f>
        <v>0</v>
      </c>
      <c r="E7" s="111">
        <v>40</v>
      </c>
      <c r="F7" s="109"/>
      <c r="H7" s="4" t="s">
        <v>402</v>
      </c>
      <c r="I7" s="59">
        <f xml:space="preserve"> COUNTIFS(Processos!F:F,H7,Processos!I:I,"&lt;12")</f>
        <v>20</v>
      </c>
    </row>
    <row r="8" spans="2:9" x14ac:dyDescent="0.2">
      <c r="B8" s="6" t="s">
        <v>366</v>
      </c>
      <c r="C8" s="59">
        <v>7</v>
      </c>
      <c r="D8" s="111">
        <f>COUNTIF(Processos!I:I,Dados!C8)</f>
        <v>11</v>
      </c>
      <c r="E8" s="111">
        <v>50</v>
      </c>
      <c r="F8" s="109"/>
      <c r="H8" s="4" t="s">
        <v>416</v>
      </c>
      <c r="I8" s="59">
        <f xml:space="preserve"> COUNTIFS(Processos!F:F,H8,Processos!I:I,"&lt;12")</f>
        <v>0</v>
      </c>
    </row>
    <row r="9" spans="2:9" x14ac:dyDescent="0.2">
      <c r="B9" s="27" t="s">
        <v>388</v>
      </c>
      <c r="C9" s="59">
        <v>8</v>
      </c>
      <c r="D9" s="111">
        <f>COUNTIF(Processos!I:I,Dados!C9)</f>
        <v>6</v>
      </c>
      <c r="E9" s="111">
        <v>60</v>
      </c>
      <c r="F9" s="109"/>
    </row>
    <row r="10" spans="2:9" x14ac:dyDescent="0.2">
      <c r="B10" s="54" t="s">
        <v>389</v>
      </c>
      <c r="C10" s="59">
        <v>9</v>
      </c>
      <c r="D10" s="111">
        <f>COUNTIF(Processos!I:I,Dados!C10)</f>
        <v>1</v>
      </c>
      <c r="E10" s="111">
        <v>70</v>
      </c>
      <c r="F10" s="109"/>
    </row>
    <row r="11" spans="2:9" x14ac:dyDescent="0.2">
      <c r="B11" s="6" t="s">
        <v>387</v>
      </c>
      <c r="C11" s="59">
        <v>10</v>
      </c>
      <c r="D11" s="111">
        <f>COUNTIF(Processos!I:I,Dados!C11)</f>
        <v>28</v>
      </c>
      <c r="E11" s="111">
        <v>80</v>
      </c>
      <c r="F11" s="109"/>
    </row>
    <row r="12" spans="2:9" x14ac:dyDescent="0.2">
      <c r="B12" s="27" t="s">
        <v>368</v>
      </c>
      <c r="C12" s="59">
        <v>11</v>
      </c>
      <c r="D12" s="111">
        <f>COUNTIF(Processos!I:I,Dados!C12)</f>
        <v>1</v>
      </c>
      <c r="E12" s="111">
        <v>90</v>
      </c>
      <c r="F12" s="109"/>
    </row>
    <row r="13" spans="2:9" x14ac:dyDescent="0.2">
      <c r="B13" s="27" t="s">
        <v>369</v>
      </c>
      <c r="C13" s="59">
        <v>12</v>
      </c>
      <c r="D13" s="111">
        <f>COUNTIF(Processos!I:I,Dados!C13)</f>
        <v>6</v>
      </c>
      <c r="E13" s="111">
        <v>95</v>
      </c>
      <c r="F13" s="109"/>
    </row>
    <row r="14" spans="2:9" x14ac:dyDescent="0.2">
      <c r="B14" s="6" t="s">
        <v>370</v>
      </c>
      <c r="C14" s="59">
        <v>13</v>
      </c>
      <c r="D14" s="111">
        <f>COUNTIF(Processos!I:I,Dados!C14)</f>
        <v>209</v>
      </c>
      <c r="E14" s="111">
        <v>100</v>
      </c>
      <c r="F14" s="109"/>
    </row>
    <row r="15" spans="2:9" x14ac:dyDescent="0.2">
      <c r="B15" s="6" t="s">
        <v>371</v>
      </c>
      <c r="C15" s="59">
        <v>14</v>
      </c>
      <c r="D15" s="111">
        <f>COUNTIF(Processos!I:I,Dados!C15)</f>
        <v>0</v>
      </c>
      <c r="E15" s="111">
        <v>0</v>
      </c>
      <c r="F15" s="10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P99"/>
  <sheetViews>
    <sheetView workbookViewId="0">
      <pane ySplit="3" topLeftCell="A37" activePane="bottomLeft" state="frozen"/>
      <selection activeCell="F1" sqref="F1"/>
      <selection pane="bottomLeft" activeCell="E69" sqref="E69"/>
    </sheetView>
  </sheetViews>
  <sheetFormatPr defaultColWidth="9.140625" defaultRowHeight="12.75" x14ac:dyDescent="0.2"/>
  <cols>
    <col min="1" max="1" width="10.140625" style="42" bestFit="1" customWidth="1"/>
    <col min="2" max="2" width="15" style="31" bestFit="1" customWidth="1"/>
    <col min="3" max="4" width="27.5703125" style="31" customWidth="1"/>
    <col min="5" max="5" width="48.85546875" style="31" customWidth="1"/>
    <col min="6" max="6" width="9.140625" style="31"/>
    <col min="7" max="7" width="11.5703125" style="31" bestFit="1" customWidth="1"/>
    <col min="8" max="16384" width="9.140625" style="31"/>
  </cols>
  <sheetData>
    <row r="1" spans="1:5" x14ac:dyDescent="0.2">
      <c r="A1" s="120" t="s">
        <v>5</v>
      </c>
      <c r="B1" s="120"/>
      <c r="C1" s="120"/>
      <c r="D1" s="120"/>
      <c r="E1" s="120"/>
    </row>
    <row r="2" spans="1:5" x14ac:dyDescent="0.2">
      <c r="A2" s="121"/>
      <c r="B2" s="121"/>
      <c r="C2" s="121"/>
      <c r="D2" s="121"/>
      <c r="E2" s="121"/>
    </row>
    <row r="3" spans="1:5" s="35" customFormat="1" ht="11.25" x14ac:dyDescent="0.15">
      <c r="A3" s="49" t="s">
        <v>2</v>
      </c>
      <c r="B3" s="50" t="s">
        <v>62</v>
      </c>
      <c r="C3" s="51" t="s">
        <v>4</v>
      </c>
      <c r="D3" s="51" t="s">
        <v>13</v>
      </c>
      <c r="E3" s="51" t="s">
        <v>359</v>
      </c>
    </row>
    <row r="4" spans="1:5" x14ac:dyDescent="0.2">
      <c r="A4" s="36">
        <v>43124</v>
      </c>
      <c r="B4" s="5" t="s">
        <v>61</v>
      </c>
      <c r="C4" s="5" t="s">
        <v>39</v>
      </c>
      <c r="D4" s="40" t="s">
        <v>63</v>
      </c>
      <c r="E4" s="5" t="s">
        <v>773</v>
      </c>
    </row>
    <row r="5" spans="1:5" x14ac:dyDescent="0.2">
      <c r="A5" s="36">
        <v>43125</v>
      </c>
      <c r="B5" s="5" t="s">
        <v>66</v>
      </c>
      <c r="C5" s="5" t="s">
        <v>10</v>
      </c>
      <c r="D5" s="40" t="s">
        <v>68</v>
      </c>
      <c r="E5" s="40" t="s">
        <v>768</v>
      </c>
    </row>
    <row r="6" spans="1:5" x14ac:dyDescent="0.2">
      <c r="A6" s="36">
        <v>43131</v>
      </c>
      <c r="B6" s="5" t="s">
        <v>71</v>
      </c>
      <c r="C6" s="5" t="s">
        <v>17</v>
      </c>
      <c r="D6" s="40" t="s">
        <v>73</v>
      </c>
      <c r="E6" s="5" t="s">
        <v>772</v>
      </c>
    </row>
    <row r="7" spans="1:5" x14ac:dyDescent="0.2">
      <c r="A7" s="36">
        <v>43136</v>
      </c>
      <c r="B7" s="5" t="s">
        <v>85</v>
      </c>
      <c r="C7" s="5" t="s">
        <v>39</v>
      </c>
      <c r="D7" s="40" t="s">
        <v>87</v>
      </c>
      <c r="E7" s="40" t="s">
        <v>768</v>
      </c>
    </row>
    <row r="8" spans="1:5" x14ac:dyDescent="0.2">
      <c r="A8" s="36">
        <v>43137</v>
      </c>
      <c r="B8" s="5" t="s">
        <v>97</v>
      </c>
      <c r="C8" s="5" t="s">
        <v>58</v>
      </c>
      <c r="D8" s="40" t="s">
        <v>98</v>
      </c>
      <c r="E8" s="93" t="s">
        <v>778</v>
      </c>
    </row>
    <row r="9" spans="1:5" s="39" customFormat="1" x14ac:dyDescent="0.2">
      <c r="A9" s="36">
        <v>43147</v>
      </c>
      <c r="B9" s="5" t="s">
        <v>106</v>
      </c>
      <c r="C9" s="5" t="s">
        <v>10</v>
      </c>
      <c r="D9" s="37" t="s">
        <v>107</v>
      </c>
      <c r="E9" s="37" t="s">
        <v>771</v>
      </c>
    </row>
    <row r="10" spans="1:5" x14ac:dyDescent="0.2">
      <c r="A10" s="36">
        <v>43157</v>
      </c>
      <c r="B10" s="5"/>
      <c r="C10" s="5" t="s">
        <v>17</v>
      </c>
      <c r="D10" s="5"/>
      <c r="E10" s="5"/>
    </row>
    <row r="11" spans="1:5" x14ac:dyDescent="0.2">
      <c r="A11" s="36">
        <v>43158</v>
      </c>
      <c r="B11" s="5" t="s">
        <v>121</v>
      </c>
      <c r="C11" s="5" t="s">
        <v>58</v>
      </c>
      <c r="D11" s="40" t="s">
        <v>123</v>
      </c>
      <c r="E11" s="5" t="s">
        <v>769</v>
      </c>
    </row>
    <row r="12" spans="1:5" x14ac:dyDescent="0.2">
      <c r="A12" s="36">
        <v>43158</v>
      </c>
      <c r="B12" s="5" t="s">
        <v>126</v>
      </c>
      <c r="C12" s="5" t="s">
        <v>39</v>
      </c>
      <c r="D12" s="40" t="s">
        <v>128</v>
      </c>
      <c r="E12" s="5" t="s">
        <v>770</v>
      </c>
    </row>
    <row r="13" spans="1:5" x14ac:dyDescent="0.2">
      <c r="A13" s="36">
        <v>43158</v>
      </c>
      <c r="B13" s="5" t="s">
        <v>131</v>
      </c>
      <c r="C13" s="5" t="s">
        <v>10</v>
      </c>
      <c r="D13" s="40" t="s">
        <v>133</v>
      </c>
      <c r="E13" s="40" t="s">
        <v>116</v>
      </c>
    </row>
    <row r="14" spans="1:5" x14ac:dyDescent="0.2">
      <c r="A14" s="36"/>
      <c r="B14" s="5"/>
      <c r="C14" s="5" t="s">
        <v>17</v>
      </c>
      <c r="D14" s="5"/>
      <c r="E14" s="5"/>
    </row>
    <row r="15" spans="1:5" x14ac:dyDescent="0.2">
      <c r="A15" s="36">
        <v>43161</v>
      </c>
      <c r="B15" s="5" t="s">
        <v>144</v>
      </c>
      <c r="C15" s="5" t="s">
        <v>191</v>
      </c>
      <c r="D15" s="40" t="s">
        <v>145</v>
      </c>
      <c r="E15" s="5" t="s">
        <v>774</v>
      </c>
    </row>
    <row r="16" spans="1:5" x14ac:dyDescent="0.2">
      <c r="A16" s="36">
        <v>43161</v>
      </c>
      <c r="B16" s="5" t="s">
        <v>148</v>
      </c>
      <c r="C16" s="5" t="s">
        <v>39</v>
      </c>
      <c r="D16" s="40" t="s">
        <v>149</v>
      </c>
      <c r="E16" s="40" t="s">
        <v>654</v>
      </c>
    </row>
    <row r="17" spans="1:10" x14ac:dyDescent="0.2">
      <c r="A17" s="36">
        <v>43161</v>
      </c>
      <c r="B17" s="5" t="s">
        <v>151</v>
      </c>
      <c r="C17" s="5" t="s">
        <v>10</v>
      </c>
      <c r="D17" s="5" t="s">
        <v>775</v>
      </c>
      <c r="E17" s="5" t="s">
        <v>776</v>
      </c>
    </row>
    <row r="18" spans="1:10" x14ac:dyDescent="0.2">
      <c r="A18" s="36"/>
      <c r="B18" s="5"/>
      <c r="C18" s="5" t="s">
        <v>17</v>
      </c>
      <c r="D18" s="5"/>
      <c r="E18" s="5"/>
    </row>
    <row r="19" spans="1:10" x14ac:dyDescent="0.2">
      <c r="A19" s="36">
        <v>43164</v>
      </c>
      <c r="B19" s="5" t="s">
        <v>158</v>
      </c>
      <c r="C19" s="5" t="s">
        <v>58</v>
      </c>
      <c r="D19" s="40" t="s">
        <v>159</v>
      </c>
      <c r="E19" s="92" t="s">
        <v>779</v>
      </c>
    </row>
    <row r="20" spans="1:10" x14ac:dyDescent="0.2">
      <c r="A20" s="36"/>
      <c r="B20" s="5"/>
      <c r="C20" s="5" t="s">
        <v>39</v>
      </c>
      <c r="D20" s="5"/>
      <c r="E20" s="5"/>
    </row>
    <row r="21" spans="1:10" x14ac:dyDescent="0.2">
      <c r="A21" s="36">
        <v>43164</v>
      </c>
      <c r="B21" s="5" t="s">
        <v>163</v>
      </c>
      <c r="C21" s="5" t="s">
        <v>10</v>
      </c>
      <c r="D21" s="40" t="s">
        <v>165</v>
      </c>
      <c r="E21" s="5" t="s">
        <v>777</v>
      </c>
    </row>
    <row r="22" spans="1:10" x14ac:dyDescent="0.2">
      <c r="A22" s="36">
        <v>43165</v>
      </c>
      <c r="B22" s="5" t="s">
        <v>175</v>
      </c>
      <c r="C22" s="5" t="s">
        <v>58</v>
      </c>
      <c r="D22" s="40" t="s">
        <v>176</v>
      </c>
      <c r="E22" s="92" t="s">
        <v>784</v>
      </c>
    </row>
    <row r="23" spans="1:10" x14ac:dyDescent="0.2">
      <c r="A23" s="36">
        <v>43166</v>
      </c>
      <c r="B23" s="5" t="s">
        <v>182</v>
      </c>
      <c r="C23" s="5" t="s">
        <v>39</v>
      </c>
      <c r="D23" s="40" t="s">
        <v>183</v>
      </c>
      <c r="E23" s="40" t="s">
        <v>780</v>
      </c>
    </row>
    <row r="24" spans="1:10" x14ac:dyDescent="0.2">
      <c r="A24" s="36">
        <v>43166</v>
      </c>
      <c r="B24" s="5" t="s">
        <v>185</v>
      </c>
      <c r="C24" s="5" t="s">
        <v>10</v>
      </c>
      <c r="D24" s="40" t="s">
        <v>186</v>
      </c>
      <c r="E24" s="52" t="s">
        <v>782</v>
      </c>
      <c r="F24" s="118" t="s">
        <v>781</v>
      </c>
      <c r="G24" s="119"/>
      <c r="H24" s="119"/>
      <c r="I24" s="119"/>
      <c r="J24" s="119"/>
    </row>
    <row r="25" spans="1:10" x14ac:dyDescent="0.2">
      <c r="A25" s="36"/>
      <c r="B25" s="5"/>
      <c r="C25" s="5" t="s">
        <v>58</v>
      </c>
      <c r="D25" s="5"/>
      <c r="E25" s="5"/>
    </row>
    <row r="26" spans="1:10" x14ac:dyDescent="0.2">
      <c r="A26" s="36">
        <v>43171</v>
      </c>
      <c r="B26" s="5" t="s">
        <v>190</v>
      </c>
      <c r="C26" s="5" t="s">
        <v>39</v>
      </c>
      <c r="D26" s="40" t="s">
        <v>206</v>
      </c>
      <c r="E26" s="5" t="s">
        <v>783</v>
      </c>
    </row>
    <row r="27" spans="1:10" x14ac:dyDescent="0.2">
      <c r="A27" s="36">
        <v>43172</v>
      </c>
      <c r="B27" s="5" t="s">
        <v>209</v>
      </c>
      <c r="C27" s="5" t="s">
        <v>192</v>
      </c>
      <c r="D27" s="40" t="s">
        <v>211</v>
      </c>
      <c r="E27" s="40" t="s">
        <v>791</v>
      </c>
    </row>
    <row r="28" spans="1:10" x14ac:dyDescent="0.2">
      <c r="A28" s="36">
        <v>43174</v>
      </c>
      <c r="B28" s="5" t="s">
        <v>221</v>
      </c>
      <c r="C28" s="5" t="s">
        <v>58</v>
      </c>
      <c r="D28" s="40" t="s">
        <v>223</v>
      </c>
      <c r="E28" s="93" t="s">
        <v>784</v>
      </c>
    </row>
    <row r="29" spans="1:10" x14ac:dyDescent="0.2">
      <c r="A29" s="36">
        <v>43178</v>
      </c>
      <c r="B29" s="5" t="s">
        <v>226</v>
      </c>
      <c r="C29" s="5" t="s">
        <v>39</v>
      </c>
      <c r="D29" s="40" t="s">
        <v>227</v>
      </c>
      <c r="E29" s="40" t="s">
        <v>785</v>
      </c>
    </row>
    <row r="30" spans="1:10" x14ac:dyDescent="0.2">
      <c r="A30" s="36">
        <v>43178</v>
      </c>
      <c r="B30" s="5" t="s">
        <v>232</v>
      </c>
      <c r="C30" s="5" t="s">
        <v>39</v>
      </c>
      <c r="D30" s="52" t="s">
        <v>186</v>
      </c>
      <c r="E30" s="52" t="s">
        <v>233</v>
      </c>
      <c r="F30" s="45"/>
      <c r="G30" s="45"/>
      <c r="H30" s="45"/>
      <c r="I30" s="45"/>
    </row>
    <row r="31" spans="1:10" x14ac:dyDescent="0.2">
      <c r="A31" s="36">
        <v>43179</v>
      </c>
      <c r="B31" s="5" t="s">
        <v>144</v>
      </c>
      <c r="C31" s="5" t="s">
        <v>10</v>
      </c>
      <c r="D31" s="40" t="s">
        <v>235</v>
      </c>
      <c r="E31" s="40" t="s">
        <v>786</v>
      </c>
    </row>
    <row r="32" spans="1:10" x14ac:dyDescent="0.2">
      <c r="A32" s="36">
        <v>43193</v>
      </c>
      <c r="B32" s="5" t="s">
        <v>259</v>
      </c>
      <c r="C32" s="5" t="s">
        <v>58</v>
      </c>
      <c r="D32" s="40" t="s">
        <v>260</v>
      </c>
      <c r="E32" s="93" t="s">
        <v>784</v>
      </c>
    </row>
    <row r="33" spans="1:10" x14ac:dyDescent="0.2">
      <c r="A33" s="36">
        <v>43194</v>
      </c>
      <c r="B33" s="5" t="s">
        <v>262</v>
      </c>
      <c r="C33" s="5" t="s">
        <v>10</v>
      </c>
      <c r="D33" s="40" t="s">
        <v>264</v>
      </c>
      <c r="E33" s="93" t="s">
        <v>784</v>
      </c>
    </row>
    <row r="34" spans="1:10" x14ac:dyDescent="0.2">
      <c r="A34" s="36">
        <v>43228</v>
      </c>
      <c r="B34" s="5" t="s">
        <v>306</v>
      </c>
      <c r="C34" s="5" t="s">
        <v>58</v>
      </c>
      <c r="D34" s="40" t="s">
        <v>347</v>
      </c>
      <c r="E34" s="40" t="s">
        <v>348</v>
      </c>
    </row>
    <row r="35" spans="1:10" x14ac:dyDescent="0.2">
      <c r="A35" s="36">
        <v>43208</v>
      </c>
      <c r="B35" s="5" t="s">
        <v>296</v>
      </c>
      <c r="C35" s="5" t="s">
        <v>39</v>
      </c>
      <c r="D35" s="40" t="s">
        <v>297</v>
      </c>
      <c r="E35" s="40" t="s">
        <v>788</v>
      </c>
      <c r="F35" s="118" t="s">
        <v>787</v>
      </c>
      <c r="G35" s="119"/>
      <c r="H35" s="119"/>
      <c r="I35" s="119"/>
      <c r="J35" s="119"/>
    </row>
    <row r="36" spans="1:10" x14ac:dyDescent="0.2">
      <c r="A36" s="36">
        <v>43210</v>
      </c>
      <c r="B36" s="5" t="s">
        <v>300</v>
      </c>
      <c r="C36" s="5" t="s">
        <v>10</v>
      </c>
      <c r="D36" s="40" t="s">
        <v>302</v>
      </c>
      <c r="E36" s="40" t="s">
        <v>789</v>
      </c>
    </row>
    <row r="37" spans="1:10" x14ac:dyDescent="0.2">
      <c r="A37" s="36">
        <v>43228</v>
      </c>
      <c r="B37" s="5" t="s">
        <v>350</v>
      </c>
      <c r="C37" s="5" t="s">
        <v>17</v>
      </c>
      <c r="D37" s="40" t="s">
        <v>352</v>
      </c>
      <c r="E37" s="40" t="s">
        <v>353</v>
      </c>
    </row>
    <row r="38" spans="1:10" x14ac:dyDescent="0.2">
      <c r="A38" s="36">
        <v>43248</v>
      </c>
      <c r="B38" s="5" t="s">
        <v>523</v>
      </c>
      <c r="C38" s="5" t="s">
        <v>39</v>
      </c>
      <c r="D38" s="5" t="s">
        <v>524</v>
      </c>
      <c r="E38" s="92" t="s">
        <v>784</v>
      </c>
    </row>
    <row r="39" spans="1:10" x14ac:dyDescent="0.2">
      <c r="A39" s="36">
        <v>43249</v>
      </c>
      <c r="B39" s="5" t="s">
        <v>242</v>
      </c>
      <c r="C39" s="5" t="s">
        <v>10</v>
      </c>
      <c r="D39" s="5" t="s">
        <v>534</v>
      </c>
      <c r="E39" s="5" t="s">
        <v>535</v>
      </c>
    </row>
    <row r="40" spans="1:10" x14ac:dyDescent="0.2">
      <c r="A40" s="36">
        <v>43257</v>
      </c>
      <c r="B40" s="5" t="s">
        <v>562</v>
      </c>
      <c r="C40" s="5" t="s">
        <v>58</v>
      </c>
      <c r="D40" s="5" t="s">
        <v>563</v>
      </c>
      <c r="E40" s="5" t="s">
        <v>564</v>
      </c>
    </row>
    <row r="41" spans="1:10" x14ac:dyDescent="0.2">
      <c r="A41" s="36">
        <v>43278</v>
      </c>
      <c r="B41" s="5" t="s">
        <v>475</v>
      </c>
      <c r="C41" s="5" t="s">
        <v>17</v>
      </c>
      <c r="D41" s="5" t="s">
        <v>638</v>
      </c>
      <c r="E41" s="5" t="s">
        <v>639</v>
      </c>
    </row>
    <row r="42" spans="1:10" x14ac:dyDescent="0.2">
      <c r="A42" s="36">
        <v>43283</v>
      </c>
      <c r="B42" s="5" t="s">
        <v>652</v>
      </c>
      <c r="C42" s="5" t="s">
        <v>39</v>
      </c>
      <c r="D42" s="5" t="s">
        <v>653</v>
      </c>
      <c r="E42" s="5" t="s">
        <v>654</v>
      </c>
    </row>
    <row r="43" spans="1:10" x14ac:dyDescent="0.2">
      <c r="A43" s="36">
        <v>43285</v>
      </c>
      <c r="B43" s="5" t="s">
        <v>664</v>
      </c>
      <c r="C43" s="5" t="s">
        <v>10</v>
      </c>
      <c r="D43" s="5" t="s">
        <v>665</v>
      </c>
      <c r="E43" s="92" t="s">
        <v>784</v>
      </c>
    </row>
    <row r="44" spans="1:10" x14ac:dyDescent="0.2">
      <c r="A44" s="36">
        <v>43292</v>
      </c>
      <c r="B44" s="5" t="s">
        <v>693</v>
      </c>
      <c r="C44" s="5" t="s">
        <v>58</v>
      </c>
      <c r="D44" s="5" t="s">
        <v>694</v>
      </c>
      <c r="E44" s="5" t="s">
        <v>695</v>
      </c>
    </row>
    <row r="45" spans="1:10" x14ac:dyDescent="0.2">
      <c r="A45" s="36">
        <v>43292</v>
      </c>
      <c r="B45" s="5" t="s">
        <v>698</v>
      </c>
      <c r="C45" s="5" t="s">
        <v>17</v>
      </c>
      <c r="D45" s="5" t="s">
        <v>699</v>
      </c>
      <c r="E45" s="5" t="s">
        <v>700</v>
      </c>
    </row>
    <row r="46" spans="1:10" x14ac:dyDescent="0.2">
      <c r="A46" s="36">
        <v>43294</v>
      </c>
      <c r="B46" s="5" t="s">
        <v>547</v>
      </c>
      <c r="C46" s="5" t="s">
        <v>39</v>
      </c>
      <c r="D46" s="5" t="s">
        <v>705</v>
      </c>
      <c r="E46" s="5" t="s">
        <v>706</v>
      </c>
    </row>
    <row r="47" spans="1:10" x14ac:dyDescent="0.2">
      <c r="A47" s="36">
        <v>43297</v>
      </c>
      <c r="B47" s="5" t="s">
        <v>355</v>
      </c>
      <c r="C47" s="5" t="s">
        <v>10</v>
      </c>
      <c r="D47" s="5" t="s">
        <v>736</v>
      </c>
      <c r="E47" s="92" t="s">
        <v>784</v>
      </c>
    </row>
    <row r="48" spans="1:10" x14ac:dyDescent="0.2">
      <c r="A48" s="36">
        <v>43300</v>
      </c>
      <c r="B48" s="41" t="s">
        <v>741</v>
      </c>
      <c r="C48" s="5" t="s">
        <v>58</v>
      </c>
      <c r="D48" s="5" t="s">
        <v>742</v>
      </c>
      <c r="E48" s="5" t="s">
        <v>743</v>
      </c>
    </row>
    <row r="49" spans="1:16" ht="12.75" customHeight="1" x14ac:dyDescent="0.2">
      <c r="A49" s="36">
        <v>43307</v>
      </c>
      <c r="B49" s="5" t="s">
        <v>762</v>
      </c>
      <c r="C49" s="5" t="s">
        <v>17</v>
      </c>
      <c r="D49" s="5" t="s">
        <v>763</v>
      </c>
      <c r="E49" s="91" t="s">
        <v>790</v>
      </c>
      <c r="F49" s="122" t="s">
        <v>764</v>
      </c>
      <c r="G49" s="123"/>
      <c r="H49" s="123"/>
      <c r="I49" s="123"/>
      <c r="J49" s="123"/>
    </row>
    <row r="50" spans="1:16" x14ac:dyDescent="0.2">
      <c r="A50" s="36"/>
      <c r="B50" s="5"/>
      <c r="C50" s="5" t="s">
        <v>39</v>
      </c>
      <c r="D50" s="5"/>
      <c r="E50" s="5"/>
      <c r="F50" s="122" t="s">
        <v>765</v>
      </c>
      <c r="G50" s="123"/>
      <c r="H50" s="123"/>
      <c r="I50" s="123"/>
      <c r="J50" s="123"/>
    </row>
    <row r="51" spans="1:16" x14ac:dyDescent="0.2">
      <c r="A51" s="47">
        <v>43315</v>
      </c>
      <c r="B51" s="48" t="s">
        <v>327</v>
      </c>
      <c r="C51" s="48" t="s">
        <v>10</v>
      </c>
      <c r="D51" s="48" t="s">
        <v>835</v>
      </c>
      <c r="E51" s="5" t="s">
        <v>836</v>
      </c>
      <c r="F51" s="122" t="s">
        <v>766</v>
      </c>
      <c r="G51" s="123"/>
      <c r="H51" s="123"/>
      <c r="I51" s="123"/>
      <c r="J51" s="123"/>
    </row>
    <row r="52" spans="1:16" x14ac:dyDescent="0.2">
      <c r="A52" s="36"/>
      <c r="B52" s="5"/>
      <c r="C52" s="5" t="s">
        <v>58</v>
      </c>
      <c r="D52" s="5"/>
      <c r="E52" s="5"/>
      <c r="F52" s="118" t="s">
        <v>855</v>
      </c>
      <c r="G52" s="119"/>
      <c r="H52" s="119"/>
      <c r="I52" s="119"/>
      <c r="J52" s="119"/>
    </row>
    <row r="53" spans="1:16" x14ac:dyDescent="0.2">
      <c r="A53" s="36">
        <v>43320</v>
      </c>
      <c r="B53" s="5" t="s">
        <v>477</v>
      </c>
      <c r="C53" s="5" t="s">
        <v>17</v>
      </c>
      <c r="D53" s="5" t="s">
        <v>856</v>
      </c>
      <c r="E53" s="5" t="s">
        <v>784</v>
      </c>
    </row>
    <row r="54" spans="1:16" x14ac:dyDescent="0.2">
      <c r="A54" s="36">
        <v>43320</v>
      </c>
      <c r="B54" s="5" t="s">
        <v>327</v>
      </c>
      <c r="C54" s="5" t="s">
        <v>39</v>
      </c>
      <c r="D54" s="5"/>
      <c r="E54" s="5"/>
      <c r="F54" s="118" t="s">
        <v>873</v>
      </c>
      <c r="G54" s="119"/>
      <c r="H54" s="119"/>
      <c r="I54" s="119"/>
      <c r="J54" s="119"/>
      <c r="K54" s="119"/>
      <c r="L54" s="119"/>
      <c r="M54" s="119"/>
      <c r="N54" s="119"/>
      <c r="O54" s="119"/>
      <c r="P54" s="119"/>
    </row>
    <row r="55" spans="1:16" x14ac:dyDescent="0.2">
      <c r="A55" s="36"/>
      <c r="B55" s="37"/>
      <c r="C55" s="5" t="s">
        <v>10</v>
      </c>
      <c r="D55" s="5"/>
      <c r="E55" s="5"/>
    </row>
    <row r="56" spans="1:16" x14ac:dyDescent="0.2">
      <c r="A56" s="36"/>
      <c r="B56" s="5"/>
      <c r="C56" s="5" t="s">
        <v>58</v>
      </c>
      <c r="D56" s="5"/>
      <c r="E56" s="5"/>
    </row>
    <row r="57" spans="1:16" x14ac:dyDescent="0.2">
      <c r="A57" s="36">
        <v>43328</v>
      </c>
      <c r="B57" s="5" t="s">
        <v>896</v>
      </c>
      <c r="C57" s="5" t="s">
        <v>17</v>
      </c>
      <c r="D57" s="5" t="s">
        <v>897</v>
      </c>
      <c r="E57" s="92" t="s">
        <v>784</v>
      </c>
    </row>
    <row r="58" spans="1:16" x14ac:dyDescent="0.2">
      <c r="A58" s="36">
        <v>43332</v>
      </c>
      <c r="B58" s="5" t="s">
        <v>908</v>
      </c>
      <c r="C58" s="5" t="s">
        <v>39</v>
      </c>
      <c r="D58" s="5" t="s">
        <v>909</v>
      </c>
      <c r="E58" s="92" t="s">
        <v>784</v>
      </c>
    </row>
    <row r="59" spans="1:16" x14ac:dyDescent="0.2">
      <c r="A59" s="36">
        <v>43333</v>
      </c>
      <c r="B59" s="5" t="s">
        <v>76</v>
      </c>
      <c r="C59" s="5" t="s">
        <v>17</v>
      </c>
      <c r="D59" s="5" t="s">
        <v>915</v>
      </c>
      <c r="E59" s="5" t="s">
        <v>916</v>
      </c>
    </row>
    <row r="60" spans="1:16" x14ac:dyDescent="0.2">
      <c r="A60" s="36">
        <v>43342</v>
      </c>
      <c r="B60" s="5" t="s">
        <v>560</v>
      </c>
      <c r="C60" s="5" t="s">
        <v>39</v>
      </c>
      <c r="D60" s="5" t="s">
        <v>966</v>
      </c>
      <c r="E60" s="5" t="s">
        <v>967</v>
      </c>
    </row>
    <row r="61" spans="1:16" x14ac:dyDescent="0.2">
      <c r="A61" s="36">
        <v>43354</v>
      </c>
      <c r="B61" s="5" t="s">
        <v>346</v>
      </c>
      <c r="C61" s="5" t="s">
        <v>17</v>
      </c>
      <c r="D61" s="5" t="s">
        <v>1016</v>
      </c>
      <c r="E61" s="92" t="s">
        <v>784</v>
      </c>
    </row>
    <row r="62" spans="1:16" x14ac:dyDescent="0.2">
      <c r="A62" s="36">
        <v>43360</v>
      </c>
      <c r="B62" s="5" t="s">
        <v>1039</v>
      </c>
      <c r="C62" s="5" t="s">
        <v>10</v>
      </c>
      <c r="D62" s="5" t="s">
        <v>1040</v>
      </c>
      <c r="E62" s="5" t="s">
        <v>1041</v>
      </c>
      <c r="G62" s="100"/>
      <c r="H62" s="101"/>
    </row>
    <row r="63" spans="1:16" x14ac:dyDescent="0.2">
      <c r="A63" s="36">
        <v>43364</v>
      </c>
      <c r="B63" s="5" t="s">
        <v>1096</v>
      </c>
      <c r="C63" s="5" t="s">
        <v>39</v>
      </c>
      <c r="D63" s="5" t="s">
        <v>1095</v>
      </c>
      <c r="E63" s="5" t="s">
        <v>1094</v>
      </c>
      <c r="H63" s="101"/>
    </row>
    <row r="64" spans="1:16" x14ac:dyDescent="0.2">
      <c r="A64" s="36">
        <v>43377</v>
      </c>
      <c r="B64" s="5" t="s">
        <v>804</v>
      </c>
      <c r="C64" s="5" t="s">
        <v>58</v>
      </c>
      <c r="D64" s="5" t="s">
        <v>1203</v>
      </c>
      <c r="E64" s="5" t="s">
        <v>1204</v>
      </c>
    </row>
    <row r="65" spans="1:7" x14ac:dyDescent="0.2">
      <c r="A65" s="36"/>
      <c r="B65" s="5" t="s">
        <v>1212</v>
      </c>
      <c r="C65" s="5" t="s">
        <v>39</v>
      </c>
      <c r="D65" s="5"/>
      <c r="E65" s="5"/>
    </row>
    <row r="66" spans="1:7" x14ac:dyDescent="0.2">
      <c r="A66" s="36">
        <v>43378</v>
      </c>
      <c r="B66" s="5" t="s">
        <v>904</v>
      </c>
      <c r="C66" s="5" t="s">
        <v>10</v>
      </c>
      <c r="D66" s="5" t="s">
        <v>1213</v>
      </c>
      <c r="E66" s="5" t="s">
        <v>1214</v>
      </c>
    </row>
    <row r="67" spans="1:7" x14ac:dyDescent="0.2">
      <c r="A67" s="36">
        <v>43378</v>
      </c>
      <c r="B67" s="5" t="s">
        <v>1219</v>
      </c>
      <c r="C67" s="5" t="s">
        <v>58</v>
      </c>
      <c r="D67" s="5" t="s">
        <v>1220</v>
      </c>
      <c r="E67" s="5" t="s">
        <v>1221</v>
      </c>
    </row>
    <row r="68" spans="1:7" x14ac:dyDescent="0.2">
      <c r="A68" s="36">
        <v>43383</v>
      </c>
      <c r="B68" s="5" t="s">
        <v>1240</v>
      </c>
      <c r="C68" s="5" t="s">
        <v>17</v>
      </c>
      <c r="D68" s="5" t="s">
        <v>1241</v>
      </c>
      <c r="E68" s="5" t="s">
        <v>1242</v>
      </c>
      <c r="G68" s="100"/>
    </row>
    <row r="69" spans="1:7" x14ac:dyDescent="0.2">
      <c r="A69" s="36"/>
      <c r="B69" s="5"/>
      <c r="C69" s="5" t="s">
        <v>39</v>
      </c>
      <c r="D69" s="5"/>
      <c r="E69" s="5"/>
      <c r="G69" s="100"/>
    </row>
    <row r="70" spans="1:7" x14ac:dyDescent="0.2">
      <c r="A70" s="36"/>
      <c r="B70" s="5"/>
      <c r="C70" s="5" t="s">
        <v>10</v>
      </c>
      <c r="D70" s="5"/>
      <c r="E70" s="5"/>
    </row>
    <row r="71" spans="1:7" x14ac:dyDescent="0.2">
      <c r="A71" s="36"/>
      <c r="B71" s="5"/>
      <c r="C71" s="5" t="s">
        <v>58</v>
      </c>
      <c r="D71" s="5"/>
      <c r="E71" s="5"/>
    </row>
    <row r="72" spans="1:7" x14ac:dyDescent="0.2">
      <c r="A72" s="36"/>
      <c r="B72" s="5"/>
      <c r="C72" s="5" t="s">
        <v>17</v>
      </c>
      <c r="D72" s="5"/>
      <c r="E72" s="5"/>
    </row>
    <row r="73" spans="1:7" x14ac:dyDescent="0.2">
      <c r="A73" s="36"/>
      <c r="B73" s="5"/>
      <c r="C73" s="5"/>
      <c r="D73" s="5"/>
      <c r="E73" s="5"/>
    </row>
    <row r="74" spans="1:7" x14ac:dyDescent="0.2">
      <c r="A74" s="36"/>
      <c r="B74" s="5"/>
      <c r="C74" s="5"/>
      <c r="D74" s="5"/>
      <c r="E74" s="5"/>
    </row>
    <row r="75" spans="1:7" x14ac:dyDescent="0.2">
      <c r="B75" s="40"/>
      <c r="C75" s="44"/>
      <c r="D75" s="44"/>
      <c r="E75" s="5"/>
    </row>
    <row r="76" spans="1:7" x14ac:dyDescent="0.2">
      <c r="A76" s="36"/>
      <c r="B76" s="5"/>
      <c r="C76" s="5"/>
      <c r="D76" s="5"/>
      <c r="E76" s="5"/>
    </row>
    <row r="77" spans="1:7" x14ac:dyDescent="0.2">
      <c r="A77" s="36"/>
      <c r="B77" s="5"/>
      <c r="C77" s="5"/>
      <c r="D77" s="5"/>
      <c r="E77" s="5"/>
    </row>
    <row r="78" spans="1:7" x14ac:dyDescent="0.2">
      <c r="A78" s="36"/>
      <c r="B78" s="5"/>
      <c r="C78" s="5"/>
      <c r="D78" s="5"/>
      <c r="E78" s="5"/>
    </row>
    <row r="79" spans="1:7" x14ac:dyDescent="0.2">
      <c r="A79" s="36"/>
      <c r="B79" s="5"/>
      <c r="C79" s="5"/>
      <c r="D79" s="5"/>
      <c r="E79" s="5"/>
    </row>
    <row r="80" spans="1:7" x14ac:dyDescent="0.2">
      <c r="A80" s="36"/>
      <c r="B80" s="5"/>
      <c r="C80" s="5"/>
      <c r="D80" s="5"/>
      <c r="E80" s="5"/>
    </row>
    <row r="81" spans="1:5" x14ac:dyDescent="0.2">
      <c r="A81" s="36"/>
      <c r="B81" s="5"/>
      <c r="C81" s="5"/>
      <c r="D81" s="5"/>
      <c r="E81" s="5"/>
    </row>
    <row r="82" spans="1:5" x14ac:dyDescent="0.2">
      <c r="A82" s="36"/>
      <c r="B82" s="5"/>
      <c r="C82" s="5"/>
      <c r="D82" s="5"/>
      <c r="E82" s="5"/>
    </row>
    <row r="83" spans="1:5" x14ac:dyDescent="0.2">
      <c r="A83" s="36"/>
      <c r="B83" s="5"/>
      <c r="C83" s="5"/>
      <c r="D83" s="5"/>
      <c r="E83" s="5"/>
    </row>
    <row r="84" spans="1:5" x14ac:dyDescent="0.2">
      <c r="A84" s="36"/>
      <c r="B84" s="5"/>
      <c r="C84" s="5"/>
      <c r="D84" s="5"/>
      <c r="E84" s="5"/>
    </row>
    <row r="85" spans="1:5" x14ac:dyDescent="0.2">
      <c r="A85" s="36"/>
      <c r="B85" s="5"/>
      <c r="C85" s="5"/>
      <c r="D85" s="5"/>
      <c r="E85" s="5"/>
    </row>
    <row r="86" spans="1:5" x14ac:dyDescent="0.2">
      <c r="A86" s="36"/>
      <c r="B86" s="5"/>
      <c r="C86" s="5"/>
      <c r="D86" s="5"/>
      <c r="E86" s="5"/>
    </row>
    <row r="87" spans="1:5" x14ac:dyDescent="0.2">
      <c r="A87" s="36"/>
      <c r="B87" s="5"/>
      <c r="C87" s="5"/>
      <c r="D87" s="5"/>
      <c r="E87" s="5"/>
    </row>
    <row r="88" spans="1:5" x14ac:dyDescent="0.2">
      <c r="A88" s="36"/>
      <c r="B88" s="5"/>
      <c r="C88" s="5"/>
      <c r="D88" s="5"/>
      <c r="E88" s="5"/>
    </row>
    <row r="89" spans="1:5" x14ac:dyDescent="0.2">
      <c r="A89" s="36"/>
      <c r="B89" s="5"/>
      <c r="C89" s="5"/>
      <c r="D89" s="5"/>
      <c r="E89" s="5"/>
    </row>
    <row r="90" spans="1:5" x14ac:dyDescent="0.2">
      <c r="A90" s="36"/>
      <c r="B90" s="5"/>
      <c r="C90" s="5"/>
      <c r="D90" s="5"/>
      <c r="E90" s="5"/>
    </row>
    <row r="91" spans="1:5" x14ac:dyDescent="0.2">
      <c r="A91" s="36"/>
      <c r="B91" s="5"/>
      <c r="C91" s="5"/>
      <c r="D91" s="5"/>
      <c r="E91" s="5"/>
    </row>
    <row r="92" spans="1:5" x14ac:dyDescent="0.2">
      <c r="A92" s="36"/>
      <c r="B92" s="40"/>
      <c r="C92" s="5"/>
      <c r="D92" s="5"/>
      <c r="E92" s="5"/>
    </row>
    <row r="93" spans="1:5" x14ac:dyDescent="0.2">
      <c r="A93" s="36"/>
      <c r="B93" s="5"/>
      <c r="C93" s="5"/>
      <c r="D93" s="5"/>
      <c r="E93" s="5"/>
    </row>
    <row r="94" spans="1:5" x14ac:dyDescent="0.2">
      <c r="A94" s="36"/>
      <c r="B94" s="5"/>
      <c r="C94" s="5"/>
      <c r="D94" s="5"/>
      <c r="E94" s="5"/>
    </row>
    <row r="95" spans="1:5" x14ac:dyDescent="0.2">
      <c r="A95" s="36"/>
      <c r="B95" s="5"/>
      <c r="C95" s="5"/>
      <c r="D95" s="5"/>
      <c r="E95" s="5"/>
    </row>
    <row r="96" spans="1:5" x14ac:dyDescent="0.2">
      <c r="A96" s="36"/>
      <c r="B96" s="5"/>
      <c r="C96" s="5"/>
      <c r="D96" s="5"/>
      <c r="E96" s="5"/>
    </row>
    <row r="97" spans="1:5" x14ac:dyDescent="0.2">
      <c r="A97" s="36"/>
      <c r="B97" s="5"/>
      <c r="C97" s="5"/>
      <c r="D97" s="5"/>
      <c r="E97" s="5"/>
    </row>
    <row r="98" spans="1:5" x14ac:dyDescent="0.2">
      <c r="A98" s="36"/>
      <c r="B98" s="5"/>
      <c r="C98" s="5"/>
      <c r="D98" s="5"/>
      <c r="E98" s="5"/>
    </row>
    <row r="99" spans="1:5" x14ac:dyDescent="0.2">
      <c r="A99" s="36"/>
      <c r="B99" s="5"/>
      <c r="C99" s="5"/>
      <c r="D99" s="5"/>
      <c r="E99" s="5"/>
    </row>
  </sheetData>
  <mergeCells count="8">
    <mergeCell ref="F54:P54"/>
    <mergeCell ref="F52:J52"/>
    <mergeCell ref="A1:E2"/>
    <mergeCell ref="F49:J49"/>
    <mergeCell ref="F50:J50"/>
    <mergeCell ref="F51:J51"/>
    <mergeCell ref="F24:J24"/>
    <mergeCell ref="F35:J35"/>
  </mergeCells>
  <pageMargins left="0.511811024" right="0.511811024" top="0.78740157499999996" bottom="0.78740157499999996" header="0.31496062000000002" footer="0.31496062000000002"/>
  <pageSetup paperSize="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50"/>
  <sheetViews>
    <sheetView workbookViewId="0">
      <pane ySplit="3" topLeftCell="A16" activePane="bottomLeft" state="frozen"/>
      <selection pane="bottomLeft" activeCell="D45" sqref="D45"/>
    </sheetView>
  </sheetViews>
  <sheetFormatPr defaultColWidth="9.140625" defaultRowHeight="12.75" x14ac:dyDescent="0.2"/>
  <cols>
    <col min="1" max="1" width="10.140625" style="42" bestFit="1" customWidth="1"/>
    <col min="2" max="2" width="15.28515625" style="31" customWidth="1"/>
    <col min="3" max="3" width="10.28515625" style="31" bestFit="1" customWidth="1"/>
    <col min="4" max="4" width="12.5703125" style="31" bestFit="1" customWidth="1"/>
    <col min="5" max="5" width="14.140625" style="31" customWidth="1"/>
    <col min="6" max="16384" width="9.140625" style="31"/>
  </cols>
  <sheetData>
    <row r="1" spans="1:5" ht="12.75" customHeight="1" x14ac:dyDescent="0.2">
      <c r="A1" s="126" t="s">
        <v>5</v>
      </c>
      <c r="B1" s="126"/>
      <c r="C1" s="126"/>
      <c r="D1" s="126"/>
    </row>
    <row r="2" spans="1:5" ht="28.5" customHeight="1" x14ac:dyDescent="0.2">
      <c r="A2" s="126"/>
      <c r="B2" s="126"/>
      <c r="C2" s="126"/>
      <c r="D2" s="126"/>
    </row>
    <row r="3" spans="1:5" s="35" customFormat="1" ht="11.25" x14ac:dyDescent="0.15">
      <c r="A3" s="46" t="s">
        <v>2</v>
      </c>
      <c r="B3" s="33" t="s">
        <v>1</v>
      </c>
      <c r="C3" s="33" t="s">
        <v>3</v>
      </c>
      <c r="D3" s="34" t="s">
        <v>4</v>
      </c>
      <c r="E3" s="34" t="s">
        <v>13</v>
      </c>
    </row>
    <row r="4" spans="1:5" x14ac:dyDescent="0.2">
      <c r="A4" s="36">
        <v>43122</v>
      </c>
      <c r="B4" s="5" t="s">
        <v>54</v>
      </c>
      <c r="C4" s="5" t="s">
        <v>8</v>
      </c>
      <c r="D4" s="5" t="s">
        <v>39</v>
      </c>
      <c r="E4" s="5"/>
    </row>
    <row r="5" spans="1:5" x14ac:dyDescent="0.2">
      <c r="A5" s="36">
        <v>43133</v>
      </c>
      <c r="B5" s="5" t="s">
        <v>81</v>
      </c>
      <c r="C5" s="5" t="s">
        <v>82</v>
      </c>
      <c r="D5" s="5" t="s">
        <v>10</v>
      </c>
      <c r="E5" s="5"/>
    </row>
    <row r="6" spans="1:5" x14ac:dyDescent="0.2">
      <c r="A6" s="36">
        <v>43147</v>
      </c>
      <c r="B6" s="5" t="s">
        <v>111</v>
      </c>
      <c r="C6" s="5" t="s">
        <v>112</v>
      </c>
      <c r="D6" s="5" t="s">
        <v>17</v>
      </c>
      <c r="E6" s="5"/>
    </row>
    <row r="7" spans="1:5" x14ac:dyDescent="0.2">
      <c r="A7" s="36">
        <v>43158</v>
      </c>
      <c r="B7" s="5" t="s">
        <v>141</v>
      </c>
      <c r="C7" s="5" t="s">
        <v>43</v>
      </c>
      <c r="D7" s="5" t="s">
        <v>58</v>
      </c>
      <c r="E7" s="5"/>
    </row>
    <row r="8" spans="1:5" x14ac:dyDescent="0.2">
      <c r="A8" s="36">
        <v>43150</v>
      </c>
      <c r="B8" s="5" t="s">
        <v>115</v>
      </c>
      <c r="C8" s="5" t="s">
        <v>360</v>
      </c>
      <c r="D8" s="5" t="s">
        <v>39</v>
      </c>
      <c r="E8" s="5"/>
    </row>
    <row r="9" spans="1:5" s="39" customFormat="1" x14ac:dyDescent="0.2">
      <c r="A9" s="36">
        <v>43151</v>
      </c>
      <c r="B9" s="5" t="s">
        <v>117</v>
      </c>
      <c r="C9" s="5" t="s">
        <v>67</v>
      </c>
      <c r="D9" s="5" t="s">
        <v>10</v>
      </c>
      <c r="E9" s="38"/>
    </row>
    <row r="10" spans="1:5" x14ac:dyDescent="0.2">
      <c r="A10" s="36"/>
      <c r="B10" s="5"/>
      <c r="C10" s="5"/>
      <c r="D10" s="5" t="s">
        <v>17</v>
      </c>
      <c r="E10" s="5"/>
    </row>
    <row r="11" spans="1:5" x14ac:dyDescent="0.2">
      <c r="A11" s="36"/>
      <c r="B11" s="5"/>
      <c r="C11" s="5"/>
      <c r="D11" s="5" t="s">
        <v>58</v>
      </c>
      <c r="E11" s="5"/>
    </row>
    <row r="12" spans="1:5" x14ac:dyDescent="0.2">
      <c r="A12" s="36">
        <v>43164</v>
      </c>
      <c r="B12" s="5" t="s">
        <v>168</v>
      </c>
      <c r="C12" s="5" t="s">
        <v>16</v>
      </c>
      <c r="D12" s="5" t="s">
        <v>39</v>
      </c>
      <c r="E12" s="5"/>
    </row>
    <row r="13" spans="1:5" x14ac:dyDescent="0.2">
      <c r="A13" s="36">
        <v>43178</v>
      </c>
      <c r="B13" s="5" t="s">
        <v>229</v>
      </c>
      <c r="C13" s="5" t="s">
        <v>188</v>
      </c>
      <c r="D13" s="5" t="s">
        <v>10</v>
      </c>
      <c r="E13" s="5"/>
    </row>
    <row r="14" spans="1:5" x14ac:dyDescent="0.2">
      <c r="A14" s="36"/>
      <c r="B14" s="5"/>
      <c r="C14" s="5"/>
      <c r="D14" s="5" t="s">
        <v>17</v>
      </c>
      <c r="E14" s="5"/>
    </row>
    <row r="15" spans="1:5" x14ac:dyDescent="0.2">
      <c r="A15" s="36">
        <v>43185</v>
      </c>
      <c r="B15" s="5" t="s">
        <v>242</v>
      </c>
      <c r="C15" s="5" t="s">
        <v>188</v>
      </c>
      <c r="D15" s="5" t="s">
        <v>58</v>
      </c>
      <c r="E15" s="5"/>
    </row>
    <row r="16" spans="1:5" x14ac:dyDescent="0.2">
      <c r="A16" s="36">
        <v>43192</v>
      </c>
      <c r="B16" s="5" t="s">
        <v>262</v>
      </c>
      <c r="C16" s="5" t="s">
        <v>155</v>
      </c>
      <c r="D16" s="5" t="s">
        <v>39</v>
      </c>
      <c r="E16" s="5"/>
    </row>
    <row r="17" spans="1:5" x14ac:dyDescent="0.2">
      <c r="A17" s="36">
        <v>43195</v>
      </c>
      <c r="B17" s="5" t="s">
        <v>66</v>
      </c>
      <c r="C17" s="5" t="s">
        <v>67</v>
      </c>
      <c r="D17" s="5" t="s">
        <v>10</v>
      </c>
      <c r="E17" s="5"/>
    </row>
    <row r="18" spans="1:5" x14ac:dyDescent="0.2">
      <c r="A18" s="36">
        <v>43200</v>
      </c>
      <c r="B18" s="5" t="s">
        <v>272</v>
      </c>
      <c r="C18" s="5" t="s">
        <v>273</v>
      </c>
      <c r="D18" s="5" t="s">
        <v>58</v>
      </c>
      <c r="E18" s="5"/>
    </row>
    <row r="19" spans="1:5" x14ac:dyDescent="0.2">
      <c r="A19" s="36">
        <v>43201</v>
      </c>
      <c r="B19" s="5" t="s">
        <v>277</v>
      </c>
      <c r="C19" s="5" t="s">
        <v>278</v>
      </c>
      <c r="D19" s="5" t="s">
        <v>39</v>
      </c>
      <c r="E19" s="5"/>
    </row>
    <row r="20" spans="1:5" x14ac:dyDescent="0.2">
      <c r="A20" s="96">
        <v>43209</v>
      </c>
      <c r="B20" s="97" t="s">
        <v>163</v>
      </c>
      <c r="C20" s="97" t="s">
        <v>164</v>
      </c>
      <c r="D20" s="97" t="s">
        <v>10</v>
      </c>
      <c r="E20" s="97"/>
    </row>
    <row r="21" spans="1:5" x14ac:dyDescent="0.2">
      <c r="A21" s="36">
        <v>43223</v>
      </c>
      <c r="B21" s="5" t="s">
        <v>175</v>
      </c>
      <c r="C21" s="5" t="s">
        <v>127</v>
      </c>
      <c r="D21" s="5" t="s">
        <v>58</v>
      </c>
      <c r="E21" s="5"/>
    </row>
    <row r="22" spans="1:5" x14ac:dyDescent="0.2">
      <c r="A22" s="36">
        <v>43207</v>
      </c>
      <c r="B22" s="5" t="s">
        <v>293</v>
      </c>
      <c r="C22" s="5" t="s">
        <v>16</v>
      </c>
      <c r="D22" s="5" t="s">
        <v>39</v>
      </c>
      <c r="E22" s="5"/>
    </row>
    <row r="23" spans="1:5" x14ac:dyDescent="0.2">
      <c r="A23" s="36">
        <v>43227</v>
      </c>
      <c r="B23" s="5" t="s">
        <v>346</v>
      </c>
      <c r="C23" s="5" t="s">
        <v>210</v>
      </c>
      <c r="D23" s="5" t="s">
        <v>17</v>
      </c>
      <c r="E23" s="5"/>
    </row>
    <row r="24" spans="1:5" x14ac:dyDescent="0.2">
      <c r="A24" s="36">
        <v>43230</v>
      </c>
      <c r="B24" s="5" t="s">
        <v>355</v>
      </c>
      <c r="C24" s="5" t="s">
        <v>102</v>
      </c>
      <c r="D24" s="5" t="s">
        <v>10</v>
      </c>
      <c r="E24" s="5"/>
    </row>
    <row r="25" spans="1:5" x14ac:dyDescent="0.2">
      <c r="A25" s="36">
        <v>43236</v>
      </c>
      <c r="B25" s="5" t="s">
        <v>306</v>
      </c>
      <c r="C25" s="5" t="s">
        <v>112</v>
      </c>
      <c r="D25" s="5" t="s">
        <v>58</v>
      </c>
      <c r="E25" s="5"/>
    </row>
    <row r="26" spans="1:5" x14ac:dyDescent="0.2">
      <c r="A26" s="36">
        <v>43250</v>
      </c>
      <c r="B26" s="5" t="s">
        <v>547</v>
      </c>
      <c r="C26" s="5" t="s">
        <v>548</v>
      </c>
      <c r="D26" s="5" t="s">
        <v>39</v>
      </c>
      <c r="E26" s="5"/>
    </row>
    <row r="27" spans="1:5" x14ac:dyDescent="0.2">
      <c r="A27" s="36">
        <v>43256</v>
      </c>
      <c r="B27" s="5" t="s">
        <v>471</v>
      </c>
      <c r="C27" s="5" t="s">
        <v>8</v>
      </c>
      <c r="D27" s="5" t="s">
        <v>17</v>
      </c>
      <c r="E27" s="5"/>
    </row>
    <row r="28" spans="1:5" x14ac:dyDescent="0.2">
      <c r="A28" s="36">
        <v>43256</v>
      </c>
      <c r="B28" s="5" t="s">
        <v>560</v>
      </c>
      <c r="C28" s="5" t="s">
        <v>8</v>
      </c>
      <c r="D28" s="5" t="s">
        <v>10</v>
      </c>
      <c r="E28" s="5"/>
    </row>
    <row r="29" spans="1:5" x14ac:dyDescent="0.2">
      <c r="A29" s="36">
        <v>43263</v>
      </c>
      <c r="B29" s="5" t="s">
        <v>586</v>
      </c>
      <c r="C29" s="5" t="s">
        <v>43</v>
      </c>
      <c r="D29" s="5" t="s">
        <v>58</v>
      </c>
      <c r="E29" s="5"/>
    </row>
    <row r="30" spans="1:5" x14ac:dyDescent="0.2">
      <c r="A30" s="36">
        <v>43272</v>
      </c>
      <c r="B30" s="5" t="s">
        <v>226</v>
      </c>
      <c r="C30" s="5" t="s">
        <v>112</v>
      </c>
      <c r="D30" s="5" t="s">
        <v>39</v>
      </c>
      <c r="E30" s="5"/>
    </row>
    <row r="31" spans="1:5" x14ac:dyDescent="0.2">
      <c r="A31" s="36">
        <v>43286</v>
      </c>
      <c r="B31" s="5" t="s">
        <v>310</v>
      </c>
      <c r="C31" s="5" t="s">
        <v>112</v>
      </c>
      <c r="D31" s="5" t="s">
        <v>17</v>
      </c>
      <c r="E31" s="5"/>
    </row>
    <row r="32" spans="1:5" x14ac:dyDescent="0.2">
      <c r="A32" s="96">
        <v>43291</v>
      </c>
      <c r="B32" s="97" t="s">
        <v>475</v>
      </c>
      <c r="C32" s="97" t="s">
        <v>112</v>
      </c>
      <c r="D32" s="97" t="s">
        <v>10</v>
      </c>
      <c r="E32" s="97"/>
    </row>
    <row r="33" spans="1:17" x14ac:dyDescent="0.2">
      <c r="A33" s="96">
        <v>43292</v>
      </c>
      <c r="B33" s="97" t="s">
        <v>523</v>
      </c>
      <c r="C33" s="97" t="s">
        <v>210</v>
      </c>
      <c r="D33" s="97" t="s">
        <v>58</v>
      </c>
      <c r="E33" s="97"/>
    </row>
    <row r="34" spans="1:17" x14ac:dyDescent="0.2">
      <c r="A34" s="36"/>
      <c r="B34" s="5"/>
      <c r="C34" s="5"/>
      <c r="D34" s="5" t="s">
        <v>39</v>
      </c>
      <c r="E34" s="5"/>
      <c r="F34" s="118" t="s">
        <v>752</v>
      </c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</row>
    <row r="35" spans="1:17" x14ac:dyDescent="0.2">
      <c r="A35" s="36">
        <v>43304</v>
      </c>
      <c r="B35" s="5" t="s">
        <v>97</v>
      </c>
      <c r="C35" s="5" t="s">
        <v>86</v>
      </c>
      <c r="D35" s="5" t="s">
        <v>17</v>
      </c>
      <c r="E35" s="5"/>
      <c r="F35" s="118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</row>
    <row r="36" spans="1:17" x14ac:dyDescent="0.2">
      <c r="A36" s="36"/>
      <c r="B36" s="5"/>
      <c r="C36" s="5"/>
      <c r="D36" s="5" t="s">
        <v>10</v>
      </c>
      <c r="E36" s="5"/>
      <c r="F36" s="118" t="s">
        <v>857</v>
      </c>
      <c r="G36" s="119"/>
      <c r="H36" s="119"/>
      <c r="I36" s="119"/>
      <c r="J36" s="119"/>
      <c r="K36" s="119"/>
      <c r="L36" s="119"/>
      <c r="M36" s="119"/>
      <c r="N36" s="119"/>
    </row>
    <row r="37" spans="1:17" x14ac:dyDescent="0.2">
      <c r="A37" s="36"/>
      <c r="B37" s="5"/>
      <c r="C37" s="5"/>
      <c r="D37" s="5" t="s">
        <v>58</v>
      </c>
      <c r="E37" s="5"/>
    </row>
    <row r="38" spans="1:17" x14ac:dyDescent="0.2">
      <c r="A38" s="36">
        <v>43320</v>
      </c>
      <c r="B38" s="5" t="s">
        <v>741</v>
      </c>
      <c r="C38" s="5" t="s">
        <v>267</v>
      </c>
      <c r="D38" s="5" t="s">
        <v>39</v>
      </c>
      <c r="E38" s="5"/>
    </row>
    <row r="39" spans="1:17" x14ac:dyDescent="0.2">
      <c r="A39" s="96">
        <v>43320</v>
      </c>
      <c r="B39" s="97" t="s">
        <v>163</v>
      </c>
      <c r="C39" s="97" t="s">
        <v>164</v>
      </c>
      <c r="D39" s="97" t="s">
        <v>17</v>
      </c>
      <c r="E39" s="97"/>
      <c r="F39" s="124" t="s">
        <v>872</v>
      </c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1:17" x14ac:dyDescent="0.2">
      <c r="A40" s="36"/>
      <c r="B40" s="5"/>
      <c r="C40" s="5"/>
      <c r="D40" s="5" t="s">
        <v>10</v>
      </c>
      <c r="E40" s="5"/>
    </row>
    <row r="41" spans="1:17" x14ac:dyDescent="0.2">
      <c r="A41" s="36"/>
      <c r="B41" s="5"/>
      <c r="C41" s="5"/>
      <c r="D41" s="5" t="s">
        <v>58</v>
      </c>
      <c r="E41" s="5"/>
    </row>
    <row r="42" spans="1:17" x14ac:dyDescent="0.2">
      <c r="A42" s="96">
        <v>43320</v>
      </c>
      <c r="B42" s="97" t="s">
        <v>475</v>
      </c>
      <c r="C42" s="97" t="s">
        <v>112</v>
      </c>
      <c r="D42" s="97" t="s">
        <v>39</v>
      </c>
      <c r="E42" s="97"/>
      <c r="F42" s="124" t="s">
        <v>873</v>
      </c>
      <c r="G42" s="125"/>
      <c r="H42" s="125"/>
      <c r="I42" s="125"/>
      <c r="J42" s="125"/>
    </row>
    <row r="43" spans="1:17" x14ac:dyDescent="0.2">
      <c r="A43" s="96">
        <v>43321</v>
      </c>
      <c r="B43" s="97" t="s">
        <v>523</v>
      </c>
      <c r="C43" s="97" t="s">
        <v>210</v>
      </c>
      <c r="D43" s="97" t="s">
        <v>17</v>
      </c>
      <c r="E43" s="97"/>
      <c r="F43" s="124" t="s">
        <v>875</v>
      </c>
      <c r="G43" s="125"/>
      <c r="H43" s="125"/>
      <c r="I43" s="125"/>
      <c r="J43" s="125"/>
      <c r="K43" s="125"/>
    </row>
    <row r="44" spans="1:17" x14ac:dyDescent="0.2">
      <c r="A44" s="36">
        <v>43332</v>
      </c>
      <c r="B44" s="5" t="s">
        <v>904</v>
      </c>
      <c r="C44" s="5" t="s">
        <v>479</v>
      </c>
      <c r="D44" s="5" t="s">
        <v>39</v>
      </c>
      <c r="E44" s="5"/>
    </row>
    <row r="45" spans="1:17" x14ac:dyDescent="0.2">
      <c r="A45" s="36">
        <v>43396</v>
      </c>
      <c r="B45" s="5" t="s">
        <v>478</v>
      </c>
      <c r="C45" s="5" t="s">
        <v>479</v>
      </c>
      <c r="D45" s="5" t="s">
        <v>17</v>
      </c>
      <c r="E45" s="5"/>
    </row>
    <row r="46" spans="1:17" x14ac:dyDescent="0.2">
      <c r="A46" s="36"/>
      <c r="B46" s="5"/>
      <c r="C46" s="5"/>
      <c r="D46" s="5" t="s">
        <v>10</v>
      </c>
      <c r="E46" s="5"/>
    </row>
    <row r="47" spans="1:17" x14ac:dyDescent="0.2">
      <c r="A47" s="36"/>
      <c r="B47" s="41"/>
      <c r="C47" s="5"/>
      <c r="D47" s="5" t="s">
        <v>39</v>
      </c>
      <c r="E47" s="5"/>
    </row>
    <row r="48" spans="1:17" x14ac:dyDescent="0.2">
      <c r="A48" s="36"/>
      <c r="B48" s="5"/>
      <c r="C48" s="5"/>
      <c r="D48" s="5" t="s">
        <v>17</v>
      </c>
      <c r="E48" s="5"/>
    </row>
    <row r="49" spans="1:5" x14ac:dyDescent="0.2">
      <c r="A49" s="36"/>
      <c r="B49" s="5"/>
      <c r="C49" s="5"/>
      <c r="D49" s="5" t="s">
        <v>10</v>
      </c>
      <c r="E49" s="5"/>
    </row>
    <row r="50" spans="1:5" x14ac:dyDescent="0.2">
      <c r="A50" s="47"/>
      <c r="B50" s="48"/>
      <c r="C50" s="48"/>
      <c r="D50" s="48" t="s">
        <v>39</v>
      </c>
    </row>
  </sheetData>
  <mergeCells count="7">
    <mergeCell ref="F43:K43"/>
    <mergeCell ref="F42:J42"/>
    <mergeCell ref="A1:D2"/>
    <mergeCell ref="F34:Q34"/>
    <mergeCell ref="F35:Q35"/>
    <mergeCell ref="F36:N36"/>
    <mergeCell ref="F39:Q3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50"/>
  <sheetViews>
    <sheetView workbookViewId="0">
      <pane ySplit="3" topLeftCell="A4" activePane="bottomLeft" state="frozen"/>
      <selection activeCell="E1" sqref="E1"/>
      <selection pane="bottomLeft" activeCell="C26" sqref="C26"/>
    </sheetView>
  </sheetViews>
  <sheetFormatPr defaultColWidth="9.140625" defaultRowHeight="12.75" x14ac:dyDescent="0.2"/>
  <cols>
    <col min="1" max="1" width="10.140625" style="42" bestFit="1" customWidth="1"/>
    <col min="2" max="2" width="12.140625" style="31" bestFit="1" customWidth="1"/>
    <col min="3" max="3" width="8.85546875" style="31" bestFit="1" customWidth="1"/>
    <col min="4" max="4" width="12.5703125" style="31" bestFit="1" customWidth="1"/>
    <col min="5" max="5" width="14.140625" style="31" customWidth="1"/>
    <col min="6" max="16384" width="9.140625" style="31"/>
  </cols>
  <sheetData>
    <row r="1" spans="1:5" ht="12.75" customHeight="1" x14ac:dyDescent="0.2">
      <c r="A1" s="127" t="s">
        <v>5</v>
      </c>
      <c r="B1" s="127"/>
      <c r="C1" s="127"/>
      <c r="D1" s="127"/>
      <c r="E1" s="127"/>
    </row>
    <row r="2" spans="1:5" ht="28.5" customHeight="1" x14ac:dyDescent="0.2">
      <c r="A2" s="128"/>
      <c r="B2" s="128"/>
      <c r="C2" s="128"/>
      <c r="D2" s="128"/>
      <c r="E2" s="128"/>
    </row>
    <row r="3" spans="1:5" s="35" customFormat="1" ht="11.25" x14ac:dyDescent="0.15">
      <c r="A3" s="49" t="s">
        <v>2</v>
      </c>
      <c r="B3" s="50" t="s">
        <v>62</v>
      </c>
      <c r="C3" s="50" t="s">
        <v>3</v>
      </c>
      <c r="D3" s="51" t="s">
        <v>4</v>
      </c>
      <c r="E3" s="51" t="s">
        <v>13</v>
      </c>
    </row>
    <row r="4" spans="1:5" x14ac:dyDescent="0.2">
      <c r="A4" s="36">
        <v>43116</v>
      </c>
      <c r="B4" s="5" t="s">
        <v>37</v>
      </c>
      <c r="C4" s="5" t="s">
        <v>38</v>
      </c>
      <c r="D4" s="5" t="s">
        <v>10</v>
      </c>
      <c r="E4" s="5"/>
    </row>
    <row r="5" spans="1:5" x14ac:dyDescent="0.2">
      <c r="A5" s="36">
        <v>43131</v>
      </c>
      <c r="B5" s="5" t="s">
        <v>76</v>
      </c>
      <c r="C5" s="5" t="s">
        <v>77</v>
      </c>
      <c r="D5" s="5" t="s">
        <v>39</v>
      </c>
      <c r="E5" s="5"/>
    </row>
    <row r="6" spans="1:5" x14ac:dyDescent="0.2">
      <c r="A6" s="36">
        <v>43147</v>
      </c>
      <c r="B6" s="5"/>
      <c r="C6" s="5" t="s">
        <v>9</v>
      </c>
      <c r="D6" s="5" t="s">
        <v>17</v>
      </c>
      <c r="E6" s="5"/>
    </row>
    <row r="7" spans="1:5" x14ac:dyDescent="0.2">
      <c r="A7" s="36"/>
      <c r="B7" s="5"/>
      <c r="C7" s="5"/>
      <c r="D7" s="5" t="s">
        <v>58</v>
      </c>
      <c r="E7" s="5"/>
    </row>
    <row r="8" spans="1:5" x14ac:dyDescent="0.2">
      <c r="A8" s="36">
        <v>43166</v>
      </c>
      <c r="B8" s="5"/>
      <c r="C8" s="5" t="s">
        <v>188</v>
      </c>
      <c r="D8" s="5" t="s">
        <v>10</v>
      </c>
      <c r="E8" s="5"/>
    </row>
    <row r="9" spans="1:5" s="39" customFormat="1" x14ac:dyDescent="0.2">
      <c r="A9" s="36">
        <v>43192</v>
      </c>
      <c r="B9" s="5" t="s">
        <v>256</v>
      </c>
      <c r="C9" s="5" t="s">
        <v>67</v>
      </c>
      <c r="D9" s="5" t="s">
        <v>39</v>
      </c>
      <c r="E9" s="38"/>
    </row>
    <row r="10" spans="1:5" x14ac:dyDescent="0.2">
      <c r="A10" s="36">
        <v>43207</v>
      </c>
      <c r="B10" s="5" t="s">
        <v>242</v>
      </c>
      <c r="C10" s="5" t="s">
        <v>188</v>
      </c>
      <c r="D10" s="5" t="s">
        <v>10</v>
      </c>
      <c r="E10" s="5"/>
    </row>
    <row r="11" spans="1:5" x14ac:dyDescent="0.2">
      <c r="A11" s="36">
        <v>43213</v>
      </c>
      <c r="B11" s="5"/>
      <c r="C11" s="5" t="s">
        <v>304</v>
      </c>
      <c r="D11" s="5" t="s">
        <v>17</v>
      </c>
      <c r="E11" s="5"/>
    </row>
    <row r="12" spans="1:5" x14ac:dyDescent="0.2">
      <c r="A12" s="36"/>
      <c r="B12" s="5"/>
      <c r="C12" s="5"/>
      <c r="D12" s="5" t="s">
        <v>58</v>
      </c>
      <c r="E12" s="5"/>
    </row>
    <row r="13" spans="1:5" x14ac:dyDescent="0.2">
      <c r="A13" s="36">
        <v>43215</v>
      </c>
      <c r="B13" s="5" t="s">
        <v>310</v>
      </c>
      <c r="C13" s="5" t="s">
        <v>112</v>
      </c>
      <c r="D13" s="5" t="s">
        <v>39</v>
      </c>
      <c r="E13" s="5"/>
    </row>
    <row r="14" spans="1:5" x14ac:dyDescent="0.2">
      <c r="A14" s="36">
        <v>43217</v>
      </c>
      <c r="B14" s="5" t="s">
        <v>327</v>
      </c>
      <c r="C14" s="5" t="s">
        <v>132</v>
      </c>
      <c r="D14" s="5" t="s">
        <v>10</v>
      </c>
      <c r="E14" s="5"/>
    </row>
    <row r="15" spans="1:5" x14ac:dyDescent="0.2">
      <c r="A15" s="36">
        <v>43272</v>
      </c>
      <c r="B15" s="5" t="s">
        <v>625</v>
      </c>
      <c r="C15" s="5" t="s">
        <v>626</v>
      </c>
      <c r="D15" s="5" t="s">
        <v>17</v>
      </c>
      <c r="E15" s="5"/>
    </row>
    <row r="16" spans="1:5" x14ac:dyDescent="0.2">
      <c r="A16" s="36">
        <v>43278</v>
      </c>
      <c r="B16" s="5" t="s">
        <v>631</v>
      </c>
      <c r="C16" s="5" t="s">
        <v>16</v>
      </c>
      <c r="D16" s="5" t="s">
        <v>58</v>
      </c>
      <c r="E16" s="5"/>
    </row>
    <row r="17" spans="1:6" x14ac:dyDescent="0.2">
      <c r="A17" s="36"/>
      <c r="B17" s="5"/>
      <c r="C17" s="5"/>
      <c r="D17" s="5" t="s">
        <v>39</v>
      </c>
      <c r="E17" s="5"/>
    </row>
    <row r="18" spans="1:6" x14ac:dyDescent="0.2">
      <c r="A18" s="36">
        <v>43312</v>
      </c>
      <c r="B18" s="5" t="s">
        <v>804</v>
      </c>
      <c r="C18" s="5" t="s">
        <v>91</v>
      </c>
      <c r="D18" s="5" t="s">
        <v>10</v>
      </c>
      <c r="E18" s="5"/>
    </row>
    <row r="19" spans="1:6" x14ac:dyDescent="0.2">
      <c r="A19" s="36">
        <v>43342</v>
      </c>
      <c r="B19" s="5" t="s">
        <v>965</v>
      </c>
      <c r="C19" s="5" t="s">
        <v>72</v>
      </c>
      <c r="D19" s="5" t="s">
        <v>17</v>
      </c>
      <c r="E19" s="5"/>
    </row>
    <row r="20" spans="1:6" x14ac:dyDescent="0.2">
      <c r="A20" s="36"/>
      <c r="B20" s="5"/>
      <c r="C20" s="5"/>
      <c r="D20" s="5" t="s">
        <v>58</v>
      </c>
      <c r="E20" s="5"/>
    </row>
    <row r="21" spans="1:6" s="102" customFormat="1" x14ac:dyDescent="0.2">
      <c r="A21" s="36">
        <v>43360</v>
      </c>
      <c r="B21" s="5" t="s">
        <v>523</v>
      </c>
      <c r="C21" s="5" t="s">
        <v>210</v>
      </c>
      <c r="D21" s="5" t="s">
        <v>17</v>
      </c>
      <c r="E21" s="5"/>
    </row>
    <row r="22" spans="1:6" x14ac:dyDescent="0.2">
      <c r="A22" s="36">
        <v>43362</v>
      </c>
      <c r="B22" s="5" t="s">
        <v>1080</v>
      </c>
      <c r="C22" s="5" t="s">
        <v>67</v>
      </c>
      <c r="D22" s="5" t="s">
        <v>39</v>
      </c>
      <c r="E22" s="5"/>
    </row>
    <row r="23" spans="1:6" ht="25.5" x14ac:dyDescent="0.2">
      <c r="A23" s="36">
        <v>43376</v>
      </c>
      <c r="B23" s="5" t="s">
        <v>908</v>
      </c>
      <c r="C23" s="5" t="s">
        <v>222</v>
      </c>
      <c r="D23" s="5" t="s">
        <v>10</v>
      </c>
      <c r="E23" s="5"/>
    </row>
    <row r="24" spans="1:6" x14ac:dyDescent="0.2">
      <c r="A24" s="36"/>
      <c r="B24" s="5"/>
      <c r="C24" s="5"/>
      <c r="D24" s="5" t="s">
        <v>17</v>
      </c>
      <c r="E24" s="5"/>
      <c r="F24" s="31" t="s">
        <v>1284</v>
      </c>
    </row>
    <row r="25" spans="1:6" x14ac:dyDescent="0.2">
      <c r="A25" s="36"/>
      <c r="B25" s="5"/>
      <c r="C25" s="5"/>
      <c r="D25" s="5" t="s">
        <v>58</v>
      </c>
      <c r="E25" s="5"/>
      <c r="F25" s="31" t="s">
        <v>301</v>
      </c>
    </row>
    <row r="26" spans="1:6" x14ac:dyDescent="0.2">
      <c r="A26" s="36">
        <v>43391</v>
      </c>
      <c r="B26" s="5" t="s">
        <v>1285</v>
      </c>
      <c r="C26" s="5"/>
      <c r="D26" s="5" t="s">
        <v>39</v>
      </c>
      <c r="E26" s="5"/>
    </row>
    <row r="27" spans="1:6" x14ac:dyDescent="0.2">
      <c r="A27" s="36"/>
      <c r="B27" s="5"/>
      <c r="C27" s="5"/>
      <c r="D27" s="5" t="s">
        <v>10</v>
      </c>
      <c r="E27" s="5"/>
    </row>
    <row r="28" spans="1:6" x14ac:dyDescent="0.2">
      <c r="A28" s="36"/>
      <c r="B28" s="5"/>
      <c r="C28" s="5"/>
      <c r="D28" s="5"/>
      <c r="E28" s="5"/>
    </row>
    <row r="29" spans="1:6" x14ac:dyDescent="0.2">
      <c r="A29" s="36"/>
      <c r="B29" s="5"/>
      <c r="C29" s="5"/>
      <c r="D29" s="5"/>
      <c r="E29" s="5"/>
    </row>
    <row r="30" spans="1:6" x14ac:dyDescent="0.2">
      <c r="A30" s="36"/>
      <c r="B30" s="5"/>
      <c r="C30" s="5"/>
      <c r="D30" s="5"/>
      <c r="E30" s="5"/>
    </row>
    <row r="31" spans="1:6" x14ac:dyDescent="0.2">
      <c r="A31" s="36"/>
      <c r="B31" s="5"/>
      <c r="C31" s="5"/>
      <c r="D31" s="5"/>
      <c r="E31" s="5"/>
    </row>
    <row r="32" spans="1:6" x14ac:dyDescent="0.2">
      <c r="A32" s="36"/>
      <c r="B32" s="5"/>
      <c r="C32" s="5"/>
      <c r="D32" s="5"/>
      <c r="E32" s="5"/>
    </row>
    <row r="33" spans="1:5" x14ac:dyDescent="0.2">
      <c r="A33" s="36"/>
      <c r="B33" s="5"/>
      <c r="C33" s="5"/>
      <c r="D33" s="5"/>
      <c r="E33" s="5"/>
    </row>
    <row r="34" spans="1:5" x14ac:dyDescent="0.2">
      <c r="A34" s="36"/>
      <c r="B34" s="5"/>
      <c r="C34" s="5"/>
      <c r="D34" s="5"/>
      <c r="E34" s="5"/>
    </row>
    <row r="35" spans="1:5" x14ac:dyDescent="0.2">
      <c r="A35" s="36"/>
      <c r="B35" s="5"/>
      <c r="C35" s="5"/>
      <c r="D35" s="5"/>
      <c r="E35" s="5"/>
    </row>
    <row r="36" spans="1:5" x14ac:dyDescent="0.2">
      <c r="A36" s="36"/>
      <c r="B36" s="5"/>
      <c r="C36" s="5"/>
      <c r="D36" s="5"/>
      <c r="E36" s="5"/>
    </row>
    <row r="37" spans="1:5" x14ac:dyDescent="0.2">
      <c r="A37" s="36"/>
      <c r="B37" s="5"/>
      <c r="C37" s="5"/>
      <c r="D37" s="5"/>
      <c r="E37" s="5"/>
    </row>
    <row r="38" spans="1:5" x14ac:dyDescent="0.2">
      <c r="A38" s="36"/>
      <c r="B38" s="5"/>
      <c r="C38" s="5"/>
      <c r="D38" s="5"/>
      <c r="E38" s="5"/>
    </row>
    <row r="39" spans="1:5" x14ac:dyDescent="0.2">
      <c r="A39" s="36"/>
      <c r="B39" s="5"/>
      <c r="C39" s="5"/>
      <c r="D39" s="5"/>
      <c r="E39" s="5"/>
    </row>
    <row r="40" spans="1:5" x14ac:dyDescent="0.2">
      <c r="A40" s="36"/>
      <c r="B40" s="5"/>
      <c r="C40" s="5"/>
      <c r="D40" s="5"/>
      <c r="E40" s="5"/>
    </row>
    <row r="41" spans="1:5" x14ac:dyDescent="0.2">
      <c r="A41" s="36"/>
      <c r="B41" s="5"/>
      <c r="C41" s="5"/>
      <c r="D41" s="5"/>
      <c r="E41" s="5"/>
    </row>
    <row r="42" spans="1:5" x14ac:dyDescent="0.2">
      <c r="A42" s="36"/>
      <c r="B42" s="5"/>
      <c r="C42" s="5"/>
      <c r="D42" s="5"/>
      <c r="E42" s="5"/>
    </row>
    <row r="43" spans="1:5" x14ac:dyDescent="0.2">
      <c r="A43" s="36"/>
      <c r="B43" s="5"/>
      <c r="C43" s="5"/>
      <c r="D43" s="5"/>
      <c r="E43" s="5"/>
    </row>
    <row r="44" spans="1:5" x14ac:dyDescent="0.2">
      <c r="A44" s="36"/>
      <c r="B44" s="5"/>
      <c r="C44" s="5"/>
      <c r="D44" s="5"/>
      <c r="E44" s="5"/>
    </row>
    <row r="45" spans="1:5" x14ac:dyDescent="0.2">
      <c r="A45" s="36"/>
      <c r="B45" s="5"/>
      <c r="C45" s="5"/>
      <c r="D45" s="5"/>
      <c r="E45" s="5"/>
    </row>
    <row r="46" spans="1:5" x14ac:dyDescent="0.2">
      <c r="A46" s="36"/>
      <c r="B46" s="5"/>
      <c r="C46" s="5"/>
      <c r="D46" s="5"/>
      <c r="E46" s="5"/>
    </row>
    <row r="47" spans="1:5" x14ac:dyDescent="0.2">
      <c r="A47" s="36"/>
      <c r="B47" s="5"/>
      <c r="C47" s="5"/>
      <c r="D47" s="5"/>
      <c r="E47" s="5"/>
    </row>
    <row r="48" spans="1:5" x14ac:dyDescent="0.2">
      <c r="A48" s="36"/>
      <c r="B48" s="5"/>
      <c r="C48" s="5"/>
      <c r="D48" s="5"/>
      <c r="E48" s="5"/>
    </row>
    <row r="49" spans="1:5" x14ac:dyDescent="0.2">
      <c r="A49" s="36"/>
      <c r="B49" s="41"/>
      <c r="C49" s="5"/>
      <c r="D49" s="5"/>
      <c r="E49" s="5"/>
    </row>
    <row r="50" spans="1:5" x14ac:dyDescent="0.2">
      <c r="A50" s="36"/>
      <c r="B50" s="5"/>
      <c r="C50" s="5"/>
      <c r="D50" s="5"/>
      <c r="E50" s="5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P71"/>
  <sheetViews>
    <sheetView workbookViewId="0">
      <pane ySplit="3" topLeftCell="A48" activePane="bottomLeft" state="frozen"/>
      <selection pane="bottomLeft" activeCell="B68" sqref="B68"/>
    </sheetView>
  </sheetViews>
  <sheetFormatPr defaultColWidth="9.140625" defaultRowHeight="12.75" x14ac:dyDescent="0.2"/>
  <cols>
    <col min="1" max="1" width="10.140625" style="42" bestFit="1" customWidth="1"/>
    <col min="2" max="2" width="14.140625" style="31" bestFit="1" customWidth="1"/>
    <col min="3" max="3" width="14.85546875" style="31" bestFit="1" customWidth="1"/>
    <col min="4" max="4" width="32.140625" style="31" customWidth="1"/>
    <col min="5" max="16384" width="9.140625" style="31"/>
  </cols>
  <sheetData>
    <row r="1" spans="1:4" ht="12.75" customHeight="1" x14ac:dyDescent="0.2">
      <c r="A1" s="127" t="s">
        <v>5</v>
      </c>
      <c r="B1" s="127"/>
      <c r="C1" s="127"/>
      <c r="D1" s="127"/>
    </row>
    <row r="2" spans="1:4" ht="28.5" customHeight="1" x14ac:dyDescent="0.2">
      <c r="A2" s="128"/>
      <c r="B2" s="128"/>
      <c r="C2" s="128"/>
      <c r="D2" s="128"/>
    </row>
    <row r="3" spans="1:4" s="35" customFormat="1" ht="11.25" x14ac:dyDescent="0.15">
      <c r="A3" s="32" t="s">
        <v>2</v>
      </c>
      <c r="B3" s="33" t="s">
        <v>1</v>
      </c>
      <c r="C3" s="34" t="s">
        <v>4</v>
      </c>
      <c r="D3" s="34" t="s">
        <v>13</v>
      </c>
    </row>
    <row r="4" spans="1:4" x14ac:dyDescent="0.2">
      <c r="A4" s="36">
        <v>43105</v>
      </c>
      <c r="B4" s="5" t="s">
        <v>15</v>
      </c>
      <c r="C4" s="5" t="s">
        <v>17</v>
      </c>
      <c r="D4" s="5"/>
    </row>
    <row r="5" spans="1:4" x14ac:dyDescent="0.2">
      <c r="A5" s="36">
        <v>43108</v>
      </c>
      <c r="B5" s="5" t="s">
        <v>21</v>
      </c>
      <c r="C5" s="5" t="s">
        <v>22</v>
      </c>
      <c r="D5" s="5"/>
    </row>
    <row r="6" spans="1:4" x14ac:dyDescent="0.2">
      <c r="A6" s="36">
        <v>43109</v>
      </c>
      <c r="B6" s="5" t="s">
        <v>28</v>
      </c>
      <c r="C6" s="5" t="s">
        <v>17</v>
      </c>
      <c r="D6" s="5"/>
    </row>
    <row r="7" spans="1:4" x14ac:dyDescent="0.2">
      <c r="A7" s="36">
        <v>43109</v>
      </c>
      <c r="B7" s="5" t="s">
        <v>31</v>
      </c>
      <c r="C7" s="5" t="s">
        <v>10</v>
      </c>
      <c r="D7" s="5"/>
    </row>
    <row r="8" spans="1:4" x14ac:dyDescent="0.2">
      <c r="A8" s="36">
        <v>43112</v>
      </c>
      <c r="B8" s="5" t="s">
        <v>25</v>
      </c>
      <c r="C8" s="5" t="s">
        <v>10</v>
      </c>
      <c r="D8" s="5"/>
    </row>
    <row r="9" spans="1:4" s="39" customFormat="1" x14ac:dyDescent="0.2">
      <c r="A9" s="36">
        <v>43115</v>
      </c>
      <c r="B9" s="5" t="s">
        <v>35</v>
      </c>
      <c r="C9" s="5" t="s">
        <v>17</v>
      </c>
      <c r="D9" s="38" t="s">
        <v>12</v>
      </c>
    </row>
    <row r="10" spans="1:4" x14ac:dyDescent="0.2">
      <c r="A10" s="36">
        <v>43116</v>
      </c>
      <c r="B10" s="5" t="s">
        <v>42</v>
      </c>
      <c r="C10" s="5" t="s">
        <v>10</v>
      </c>
      <c r="D10" s="5"/>
    </row>
    <row r="11" spans="1:4" x14ac:dyDescent="0.2">
      <c r="A11" s="36">
        <v>43117</v>
      </c>
      <c r="B11" s="5" t="s">
        <v>52</v>
      </c>
      <c r="C11" s="5" t="s">
        <v>39</v>
      </c>
      <c r="D11" s="5"/>
    </row>
    <row r="12" spans="1:4" x14ac:dyDescent="0.2">
      <c r="A12" s="36">
        <v>43137</v>
      </c>
      <c r="B12" s="5" t="s">
        <v>94</v>
      </c>
      <c r="C12" s="5" t="s">
        <v>10</v>
      </c>
      <c r="D12" s="40" t="s">
        <v>12</v>
      </c>
    </row>
    <row r="13" spans="1:4" x14ac:dyDescent="0.2">
      <c r="A13" s="36">
        <v>43146</v>
      </c>
      <c r="B13" s="5" t="s">
        <v>101</v>
      </c>
      <c r="C13" s="5" t="s">
        <v>39</v>
      </c>
      <c r="D13" s="40" t="s">
        <v>103</v>
      </c>
    </row>
    <row r="14" spans="1:4" x14ac:dyDescent="0.2">
      <c r="A14" s="36">
        <v>43161</v>
      </c>
      <c r="B14" s="5" t="s">
        <v>154</v>
      </c>
      <c r="C14" s="5" t="s">
        <v>58</v>
      </c>
      <c r="D14" s="5"/>
    </row>
    <row r="15" spans="1:4" x14ac:dyDescent="0.2">
      <c r="A15" s="36">
        <v>43109</v>
      </c>
      <c r="B15" s="5" t="s">
        <v>31</v>
      </c>
      <c r="C15" s="5" t="s">
        <v>10</v>
      </c>
      <c r="D15" s="5"/>
    </row>
    <row r="16" spans="1:4" x14ac:dyDescent="0.2">
      <c r="A16" s="36">
        <v>43165</v>
      </c>
      <c r="B16" s="5" t="s">
        <v>178</v>
      </c>
      <c r="C16" s="5" t="s">
        <v>10</v>
      </c>
      <c r="D16" s="5"/>
    </row>
    <row r="17" spans="1:4" x14ac:dyDescent="0.2">
      <c r="A17" s="36">
        <v>43173</v>
      </c>
      <c r="B17" s="5" t="s">
        <v>218</v>
      </c>
      <c r="C17" s="5" t="s">
        <v>39</v>
      </c>
      <c r="D17" s="5"/>
    </row>
    <row r="18" spans="1:4" x14ac:dyDescent="0.2">
      <c r="A18" s="36">
        <v>43185</v>
      </c>
      <c r="B18" s="5" t="s">
        <v>244</v>
      </c>
      <c r="C18" s="5" t="s">
        <v>58</v>
      </c>
      <c r="D18" s="5"/>
    </row>
    <row r="19" spans="1:4" x14ac:dyDescent="0.2">
      <c r="A19" s="36">
        <v>43192</v>
      </c>
      <c r="B19" s="5" t="s">
        <v>52</v>
      </c>
      <c r="C19" s="5" t="s">
        <v>17</v>
      </c>
      <c r="D19" s="5"/>
    </row>
    <row r="20" spans="1:4" x14ac:dyDescent="0.2">
      <c r="A20" s="36">
        <v>43200</v>
      </c>
      <c r="B20" s="5" t="s">
        <v>275</v>
      </c>
      <c r="C20" s="5" t="s">
        <v>10</v>
      </c>
      <c r="D20" s="5"/>
    </row>
    <row r="21" spans="1:4" x14ac:dyDescent="0.2">
      <c r="A21" s="36">
        <v>43244</v>
      </c>
      <c r="B21" s="5" t="s">
        <v>495</v>
      </c>
      <c r="C21" s="5" t="s">
        <v>39</v>
      </c>
      <c r="D21" s="5"/>
    </row>
    <row r="22" spans="1:4" x14ac:dyDescent="0.2">
      <c r="A22" s="36">
        <v>43244</v>
      </c>
      <c r="B22" s="5" t="s">
        <v>507</v>
      </c>
      <c r="C22" s="5" t="s">
        <v>58</v>
      </c>
      <c r="D22" s="5"/>
    </row>
    <row r="23" spans="1:4" x14ac:dyDescent="0.2">
      <c r="A23" s="36">
        <v>43245</v>
      </c>
      <c r="B23" s="5" t="s">
        <v>520</v>
      </c>
      <c r="C23" s="5" t="s">
        <v>39</v>
      </c>
      <c r="D23" s="5"/>
    </row>
    <row r="24" spans="1:4" x14ac:dyDescent="0.2">
      <c r="A24" s="36">
        <v>43248</v>
      </c>
      <c r="B24" s="5" t="s">
        <v>526</v>
      </c>
      <c r="C24" s="5" t="s">
        <v>521</v>
      </c>
      <c r="D24" s="5"/>
    </row>
    <row r="25" spans="1:4" x14ac:dyDescent="0.2">
      <c r="A25" s="36">
        <v>43249</v>
      </c>
      <c r="B25" s="5" t="s">
        <v>536</v>
      </c>
      <c r="C25" s="5" t="s">
        <v>10</v>
      </c>
      <c r="D25" s="5"/>
    </row>
    <row r="26" spans="1:4" x14ac:dyDescent="0.2">
      <c r="A26" s="36">
        <v>43249</v>
      </c>
      <c r="B26" s="5" t="s">
        <v>15</v>
      </c>
      <c r="C26" s="5" t="s">
        <v>58</v>
      </c>
      <c r="D26" s="5"/>
    </row>
    <row r="27" spans="1:4" x14ac:dyDescent="0.2">
      <c r="A27" s="36">
        <v>43255</v>
      </c>
      <c r="B27" s="5" t="s">
        <v>21</v>
      </c>
      <c r="C27" s="5" t="s">
        <v>39</v>
      </c>
      <c r="D27" s="5"/>
    </row>
    <row r="28" spans="1:4" x14ac:dyDescent="0.2">
      <c r="A28" s="36">
        <v>43255</v>
      </c>
      <c r="B28" s="5" t="s">
        <v>557</v>
      </c>
      <c r="C28" s="5" t="s">
        <v>17</v>
      </c>
      <c r="D28" s="5"/>
    </row>
    <row r="29" spans="1:4" x14ac:dyDescent="0.2">
      <c r="A29" s="36">
        <v>43257</v>
      </c>
      <c r="B29" s="5" t="s">
        <v>566</v>
      </c>
      <c r="C29" s="5" t="s">
        <v>10</v>
      </c>
      <c r="D29" s="5" t="s">
        <v>569</v>
      </c>
    </row>
    <row r="30" spans="1:4" x14ac:dyDescent="0.2">
      <c r="A30" s="36">
        <v>43257</v>
      </c>
      <c r="B30" s="5" t="s">
        <v>570</v>
      </c>
      <c r="C30" s="5" t="s">
        <v>58</v>
      </c>
      <c r="D30" s="5"/>
    </row>
    <row r="31" spans="1:4" x14ac:dyDescent="0.2">
      <c r="A31" s="36">
        <v>43258</v>
      </c>
      <c r="B31" s="5" t="s">
        <v>578</v>
      </c>
      <c r="C31" s="5" t="s">
        <v>39</v>
      </c>
      <c r="D31" s="5"/>
    </row>
    <row r="32" spans="1:4" x14ac:dyDescent="0.2">
      <c r="A32" s="36">
        <v>43264</v>
      </c>
      <c r="B32" s="5" t="s">
        <v>587</v>
      </c>
      <c r="C32" s="5" t="s">
        <v>17</v>
      </c>
      <c r="D32" s="5"/>
    </row>
    <row r="33" spans="1:14" x14ac:dyDescent="0.2">
      <c r="A33" s="36">
        <v>43265</v>
      </c>
      <c r="B33" s="5" t="s">
        <v>591</v>
      </c>
      <c r="C33" s="5" t="s">
        <v>10</v>
      </c>
      <c r="D33" s="5"/>
    </row>
    <row r="34" spans="1:14" ht="25.5" x14ac:dyDescent="0.2">
      <c r="A34" s="36">
        <v>43266</v>
      </c>
      <c r="B34" s="5" t="s">
        <v>594</v>
      </c>
      <c r="C34" s="5" t="s">
        <v>58</v>
      </c>
      <c r="D34" s="5" t="s">
        <v>604</v>
      </c>
    </row>
    <row r="35" spans="1:14" ht="25.5" x14ac:dyDescent="0.2">
      <c r="A35" s="36">
        <v>43278</v>
      </c>
      <c r="B35" s="5" t="s">
        <v>634</v>
      </c>
      <c r="C35" s="5" t="s">
        <v>39</v>
      </c>
      <c r="D35" s="5" t="s">
        <v>635</v>
      </c>
    </row>
    <row r="36" spans="1:14" x14ac:dyDescent="0.2">
      <c r="A36" s="36">
        <v>43286</v>
      </c>
      <c r="B36" s="5" t="s">
        <v>682</v>
      </c>
      <c r="C36" s="5" t="s">
        <v>521</v>
      </c>
      <c r="D36" s="5"/>
    </row>
    <row r="37" spans="1:14" x14ac:dyDescent="0.2">
      <c r="A37" s="36">
        <v>43294</v>
      </c>
      <c r="B37" s="5" t="s">
        <v>721</v>
      </c>
      <c r="C37" s="5" t="s">
        <v>10</v>
      </c>
      <c r="D37" s="5"/>
    </row>
    <row r="38" spans="1:14" x14ac:dyDescent="0.2">
      <c r="A38" s="36">
        <v>43294</v>
      </c>
      <c r="B38" s="5" t="s">
        <v>727</v>
      </c>
      <c r="C38" s="5" t="s">
        <v>58</v>
      </c>
      <c r="D38" s="5"/>
    </row>
    <row r="39" spans="1:14" x14ac:dyDescent="0.2">
      <c r="A39" s="36"/>
      <c r="B39" s="5"/>
      <c r="C39" s="5" t="s">
        <v>39</v>
      </c>
      <c r="D39" s="5"/>
    </row>
    <row r="40" spans="1:14" x14ac:dyDescent="0.2">
      <c r="A40" s="36">
        <v>43305</v>
      </c>
      <c r="B40" s="5" t="s">
        <v>756</v>
      </c>
      <c r="C40" s="5" t="s">
        <v>17</v>
      </c>
      <c r="D40" s="5"/>
    </row>
    <row r="41" spans="1:14" ht="25.5" x14ac:dyDescent="0.2">
      <c r="A41" s="36">
        <v>43313</v>
      </c>
      <c r="B41" s="5" t="s">
        <v>821</v>
      </c>
      <c r="C41" s="5" t="s">
        <v>10</v>
      </c>
      <c r="D41" s="5" t="s">
        <v>876</v>
      </c>
    </row>
    <row r="42" spans="1:14" x14ac:dyDescent="0.2">
      <c r="A42" s="96">
        <v>43315</v>
      </c>
      <c r="B42" s="97" t="s">
        <v>838</v>
      </c>
      <c r="C42" s="97" t="s">
        <v>58</v>
      </c>
      <c r="D42" s="97" t="s">
        <v>839</v>
      </c>
    </row>
    <row r="43" spans="1:14" x14ac:dyDescent="0.2">
      <c r="A43" s="36">
        <v>43319</v>
      </c>
      <c r="B43" s="5" t="s">
        <v>842</v>
      </c>
      <c r="C43" s="5" t="s">
        <v>39</v>
      </c>
      <c r="D43" s="5"/>
    </row>
    <row r="44" spans="1:14" x14ac:dyDescent="0.2">
      <c r="A44" s="36">
        <v>43319</v>
      </c>
      <c r="B44" s="5" t="s">
        <v>843</v>
      </c>
      <c r="C44" s="5" t="s">
        <v>17</v>
      </c>
      <c r="D44" s="5"/>
    </row>
    <row r="45" spans="1:14" x14ac:dyDescent="0.2">
      <c r="A45" s="36"/>
      <c r="B45" s="5"/>
      <c r="C45" s="5" t="s">
        <v>10</v>
      </c>
      <c r="D45" s="5"/>
      <c r="E45" s="118" t="s">
        <v>848</v>
      </c>
      <c r="F45" s="119"/>
      <c r="G45" s="119"/>
      <c r="H45" s="119"/>
      <c r="I45" s="119"/>
      <c r="J45" s="119"/>
      <c r="K45" s="119"/>
      <c r="L45" s="119"/>
      <c r="M45" s="119"/>
      <c r="N45" s="119"/>
    </row>
    <row r="46" spans="1:14" x14ac:dyDescent="0.2">
      <c r="A46" s="36"/>
      <c r="B46" s="5"/>
      <c r="C46" s="5" t="s">
        <v>58</v>
      </c>
      <c r="D46" s="5"/>
      <c r="E46" s="118"/>
      <c r="F46" s="119"/>
      <c r="G46" s="119"/>
      <c r="H46" s="119"/>
      <c r="I46" s="119"/>
      <c r="J46" s="119"/>
      <c r="K46" s="119"/>
      <c r="L46" s="119"/>
      <c r="M46" s="119"/>
      <c r="N46" s="119"/>
    </row>
    <row r="47" spans="1:14" ht="38.25" x14ac:dyDescent="0.2">
      <c r="A47" s="36">
        <v>43319</v>
      </c>
      <c r="B47" s="5" t="s">
        <v>849</v>
      </c>
      <c r="C47" s="5" t="s">
        <v>39</v>
      </c>
      <c r="D47" s="5" t="s">
        <v>850</v>
      </c>
      <c r="E47" s="118" t="s">
        <v>851</v>
      </c>
      <c r="F47" s="119"/>
      <c r="G47" s="119"/>
      <c r="H47" s="119"/>
      <c r="I47" s="119"/>
      <c r="J47" s="119"/>
      <c r="K47" s="119"/>
      <c r="L47" s="119"/>
      <c r="M47" s="119"/>
      <c r="N47" s="119"/>
    </row>
    <row r="48" spans="1:14" x14ac:dyDescent="0.2">
      <c r="A48" s="36">
        <v>43319</v>
      </c>
      <c r="B48" s="41" t="s">
        <v>852</v>
      </c>
      <c r="C48" s="5" t="s">
        <v>17</v>
      </c>
      <c r="D48" s="5"/>
    </row>
    <row r="49" spans="1:16" x14ac:dyDescent="0.2">
      <c r="A49" s="36">
        <v>43320</v>
      </c>
      <c r="B49" s="5" t="s">
        <v>15</v>
      </c>
      <c r="C49" s="5" t="s">
        <v>39</v>
      </c>
      <c r="D49" s="5"/>
    </row>
    <row r="50" spans="1:16" x14ac:dyDescent="0.2">
      <c r="A50" s="96">
        <v>43321</v>
      </c>
      <c r="B50" s="97" t="s">
        <v>838</v>
      </c>
      <c r="C50" s="97" t="s">
        <v>17</v>
      </c>
      <c r="D50" s="97"/>
      <c r="E50" s="124" t="s">
        <v>874</v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</row>
    <row r="51" spans="1:16" x14ac:dyDescent="0.2">
      <c r="A51" s="36">
        <v>43325</v>
      </c>
      <c r="B51" s="5" t="s">
        <v>25</v>
      </c>
      <c r="C51" s="5" t="s">
        <v>39</v>
      </c>
      <c r="D51" s="5"/>
    </row>
    <row r="52" spans="1:16" x14ac:dyDescent="0.2">
      <c r="A52" s="36">
        <v>43326</v>
      </c>
      <c r="B52" s="5" t="s">
        <v>878</v>
      </c>
      <c r="C52" s="5" t="s">
        <v>17</v>
      </c>
      <c r="D52" s="5"/>
    </row>
    <row r="53" spans="1:16" x14ac:dyDescent="0.2">
      <c r="A53" s="36">
        <v>43328</v>
      </c>
      <c r="B53" s="5" t="s">
        <v>900</v>
      </c>
      <c r="C53" s="5" t="s">
        <v>39</v>
      </c>
      <c r="D53" s="5"/>
    </row>
    <row r="54" spans="1:16" x14ac:dyDescent="0.2">
      <c r="A54" s="36">
        <v>43335</v>
      </c>
      <c r="B54" s="5" t="s">
        <v>936</v>
      </c>
      <c r="C54" s="5" t="s">
        <v>17</v>
      </c>
      <c r="D54" s="5"/>
    </row>
    <row r="55" spans="1:16" x14ac:dyDescent="0.2">
      <c r="A55" s="36">
        <v>43346</v>
      </c>
      <c r="B55" s="37" t="s">
        <v>985</v>
      </c>
      <c r="C55" s="5" t="s">
        <v>39</v>
      </c>
      <c r="D55" s="5"/>
    </row>
    <row r="56" spans="1:16" x14ac:dyDescent="0.2">
      <c r="A56" s="36">
        <v>43354</v>
      </c>
      <c r="B56" s="5" t="s">
        <v>1020</v>
      </c>
      <c r="C56" s="5" t="s">
        <v>17</v>
      </c>
      <c r="D56" s="5"/>
    </row>
    <row r="57" spans="1:16" x14ac:dyDescent="0.2">
      <c r="A57" s="36">
        <v>43354</v>
      </c>
      <c r="B57" s="5" t="s">
        <v>1028</v>
      </c>
      <c r="C57" s="5" t="s">
        <v>39</v>
      </c>
      <c r="D57" s="5"/>
    </row>
    <row r="58" spans="1:16" x14ac:dyDescent="0.2">
      <c r="A58" s="96">
        <v>43361</v>
      </c>
      <c r="B58" s="97" t="s">
        <v>1054</v>
      </c>
      <c r="C58" s="97" t="s">
        <v>10</v>
      </c>
      <c r="D58" s="97" t="s">
        <v>839</v>
      </c>
    </row>
    <row r="59" spans="1:16" s="103" customFormat="1" x14ac:dyDescent="0.2">
      <c r="A59" s="96">
        <v>43368</v>
      </c>
      <c r="B59" s="97" t="s">
        <v>1101</v>
      </c>
      <c r="C59" s="97" t="s">
        <v>58</v>
      </c>
      <c r="D59" s="97" t="s">
        <v>839</v>
      </c>
    </row>
    <row r="60" spans="1:16" s="105" customFormat="1" x14ac:dyDescent="0.2">
      <c r="A60" s="96">
        <v>43369</v>
      </c>
      <c r="B60" s="97" t="s">
        <v>1117</v>
      </c>
      <c r="C60" s="97" t="s">
        <v>10</v>
      </c>
      <c r="D60" s="97" t="s">
        <v>839</v>
      </c>
    </row>
    <row r="61" spans="1:16" s="106" customFormat="1" x14ac:dyDescent="0.2">
      <c r="A61" s="96">
        <v>43369</v>
      </c>
      <c r="B61" s="97" t="s">
        <v>1121</v>
      </c>
      <c r="C61" s="97" t="s">
        <v>39</v>
      </c>
      <c r="D61" s="97" t="s">
        <v>839</v>
      </c>
    </row>
    <row r="62" spans="1:16" x14ac:dyDescent="0.2">
      <c r="A62" s="42">
        <v>43389</v>
      </c>
      <c r="B62" s="31" t="s">
        <v>1270</v>
      </c>
      <c r="C62" s="31" t="s">
        <v>10</v>
      </c>
    </row>
    <row r="63" spans="1:16" x14ac:dyDescent="0.2">
      <c r="A63" s="42">
        <v>43391</v>
      </c>
      <c r="B63" s="31" t="s">
        <v>1278</v>
      </c>
      <c r="C63" s="31" t="s">
        <v>39</v>
      </c>
    </row>
    <row r="64" spans="1:16" x14ac:dyDescent="0.2">
      <c r="A64" s="42">
        <v>43391</v>
      </c>
      <c r="B64" s="31" t="s">
        <v>1283</v>
      </c>
      <c r="C64" s="31" t="s">
        <v>10</v>
      </c>
    </row>
    <row r="65" spans="1:3" x14ac:dyDescent="0.2">
      <c r="A65" s="42">
        <v>43392</v>
      </c>
      <c r="B65" s="31" t="s">
        <v>1301</v>
      </c>
      <c r="C65" s="31" t="s">
        <v>39</v>
      </c>
    </row>
    <row r="66" spans="1:3" x14ac:dyDescent="0.2">
      <c r="A66" s="42">
        <v>43396</v>
      </c>
      <c r="B66" s="31" t="s">
        <v>1320</v>
      </c>
      <c r="C66" s="31" t="s">
        <v>17</v>
      </c>
    </row>
    <row r="67" spans="1:3" x14ac:dyDescent="0.2">
      <c r="A67" s="42">
        <v>43396</v>
      </c>
      <c r="B67" s="31" t="s">
        <v>1324</v>
      </c>
      <c r="C67" s="31" t="s">
        <v>10</v>
      </c>
    </row>
    <row r="68" spans="1:3" x14ac:dyDescent="0.2">
      <c r="A68" s="42">
        <v>43398</v>
      </c>
      <c r="B68" s="31" t="s">
        <v>1339</v>
      </c>
      <c r="C68" s="31" t="s">
        <v>39</v>
      </c>
    </row>
    <row r="69" spans="1:3" x14ac:dyDescent="0.2">
      <c r="C69" s="31" t="s">
        <v>17</v>
      </c>
    </row>
    <row r="70" spans="1:3" x14ac:dyDescent="0.2">
      <c r="C70" s="31" t="s">
        <v>10</v>
      </c>
    </row>
    <row r="71" spans="1:3" x14ac:dyDescent="0.2">
      <c r="C71" s="31" t="s">
        <v>39</v>
      </c>
    </row>
  </sheetData>
  <autoFilter ref="A3:D59"/>
  <mergeCells count="5">
    <mergeCell ref="A1:D2"/>
    <mergeCell ref="E45:N45"/>
    <mergeCell ref="E46:N46"/>
    <mergeCell ref="E47:N47"/>
    <mergeCell ref="E50:P50"/>
  </mergeCells>
  <phoneticPr fontId="0" type="noConversion"/>
  <pageMargins left="0.74791666666666667" right="0.74791666666666667" top="0.98402777777777772" bottom="0.98402777777777772" header="0.51180555555555551" footer="0.51180555555555551"/>
  <pageSetup scale="92" firstPageNumber="0" orientation="landscape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R241"/>
  <sheetViews>
    <sheetView workbookViewId="0">
      <pane ySplit="3" topLeftCell="A61" activePane="bottomLeft" state="frozen"/>
      <selection pane="bottomLeft" activeCell="A77" sqref="A77"/>
    </sheetView>
  </sheetViews>
  <sheetFormatPr defaultRowHeight="12.75" x14ac:dyDescent="0.2"/>
  <cols>
    <col min="1" max="1" width="10.140625" style="14" bestFit="1" customWidth="1"/>
    <col min="2" max="2" width="43.140625" style="12" customWidth="1"/>
    <col min="3" max="3" width="43.7109375" style="13" customWidth="1"/>
    <col min="4" max="4" width="15.28515625" customWidth="1"/>
    <col min="5" max="5" width="9.140625" bestFit="1" customWidth="1"/>
    <col min="6" max="6" width="12.5703125" bestFit="1" customWidth="1"/>
    <col min="7" max="7" width="36" customWidth="1"/>
    <col min="8" max="8" width="33.5703125" customWidth="1"/>
    <col min="9" max="9" width="29.5703125" customWidth="1"/>
    <col min="10" max="10" width="14.140625" customWidth="1"/>
  </cols>
  <sheetData>
    <row r="1" spans="1:10" ht="12.75" customHeight="1" x14ac:dyDescent="0.2">
      <c r="A1" s="129" t="s">
        <v>5</v>
      </c>
      <c r="B1" s="129"/>
      <c r="C1" s="129"/>
      <c r="D1" s="129"/>
      <c r="E1" s="129"/>
      <c r="F1" s="129"/>
      <c r="G1" s="129"/>
    </row>
    <row r="2" spans="1:10" ht="28.5" customHeight="1" x14ac:dyDescent="0.2">
      <c r="A2" s="129"/>
      <c r="B2" s="129"/>
      <c r="C2" s="129"/>
      <c r="D2" s="129"/>
      <c r="E2" s="129"/>
      <c r="F2" s="129"/>
      <c r="G2" s="129"/>
    </row>
    <row r="3" spans="1:10" s="30" customFormat="1" ht="11.25" x14ac:dyDescent="0.15">
      <c r="A3" s="43" t="s">
        <v>2</v>
      </c>
      <c r="B3" s="28" t="s">
        <v>6</v>
      </c>
      <c r="C3" s="28" t="s">
        <v>0</v>
      </c>
      <c r="D3" s="28" t="s">
        <v>1</v>
      </c>
      <c r="E3" s="28" t="s">
        <v>3</v>
      </c>
      <c r="F3" s="29" t="s">
        <v>4</v>
      </c>
      <c r="G3" s="29" t="s">
        <v>47</v>
      </c>
      <c r="H3" s="29" t="s">
        <v>48</v>
      </c>
      <c r="I3" s="29" t="s">
        <v>49</v>
      </c>
      <c r="J3" s="29" t="s">
        <v>13</v>
      </c>
    </row>
    <row r="4" spans="1:10" x14ac:dyDescent="0.2">
      <c r="A4" s="8">
        <v>43123</v>
      </c>
      <c r="B4" s="9" t="s">
        <v>7</v>
      </c>
      <c r="C4" s="15" t="s">
        <v>55</v>
      </c>
      <c r="D4" s="2" t="s">
        <v>56</v>
      </c>
      <c r="E4" s="2" t="s">
        <v>8</v>
      </c>
      <c r="F4" s="2" t="s">
        <v>22</v>
      </c>
      <c r="G4" s="18" t="s">
        <v>57</v>
      </c>
      <c r="H4" s="20">
        <v>43123</v>
      </c>
      <c r="I4" s="21"/>
    </row>
    <row r="5" spans="1:10" x14ac:dyDescent="0.2">
      <c r="A5" s="8">
        <v>43158</v>
      </c>
      <c r="B5" s="9" t="s">
        <v>134</v>
      </c>
      <c r="C5" s="15" t="s">
        <v>135</v>
      </c>
      <c r="D5" s="2" t="s">
        <v>136</v>
      </c>
      <c r="E5" s="2"/>
      <c r="F5" s="2" t="s">
        <v>22</v>
      </c>
      <c r="G5" s="18"/>
      <c r="H5" s="2" t="s">
        <v>137</v>
      </c>
      <c r="I5" s="7"/>
    </row>
    <row r="6" spans="1:10" x14ac:dyDescent="0.2">
      <c r="A6" s="8">
        <v>43158</v>
      </c>
      <c r="B6" s="9" t="s">
        <v>138</v>
      </c>
      <c r="C6" s="15" t="s">
        <v>139</v>
      </c>
      <c r="D6" s="2" t="s">
        <v>21</v>
      </c>
      <c r="E6" s="2"/>
      <c r="F6" s="2" t="s">
        <v>22</v>
      </c>
      <c r="G6" s="18"/>
      <c r="H6" s="2" t="s">
        <v>137</v>
      </c>
      <c r="I6" s="7"/>
    </row>
    <row r="7" spans="1:10" x14ac:dyDescent="0.2">
      <c r="A7" s="8">
        <v>43164</v>
      </c>
      <c r="B7" s="9" t="s">
        <v>169</v>
      </c>
      <c r="C7" s="15" t="s">
        <v>170</v>
      </c>
      <c r="D7" s="2" t="s">
        <v>171</v>
      </c>
      <c r="E7" s="2" t="s">
        <v>32</v>
      </c>
      <c r="F7" s="2" t="s">
        <v>172</v>
      </c>
      <c r="G7" s="18" t="s">
        <v>173</v>
      </c>
      <c r="H7" s="23">
        <v>43164</v>
      </c>
      <c r="I7" s="7"/>
    </row>
    <row r="8" spans="1:10" x14ac:dyDescent="0.2">
      <c r="A8" s="8">
        <v>43171</v>
      </c>
      <c r="B8" s="9" t="s">
        <v>193</v>
      </c>
      <c r="C8" s="15" t="s">
        <v>194</v>
      </c>
      <c r="D8" s="2" t="s">
        <v>195</v>
      </c>
      <c r="E8" s="2" t="s">
        <v>16</v>
      </c>
      <c r="F8" s="2" t="s">
        <v>22</v>
      </c>
      <c r="G8" s="18" t="s">
        <v>196</v>
      </c>
      <c r="H8" s="23">
        <v>43171</v>
      </c>
      <c r="I8" s="7"/>
    </row>
    <row r="9" spans="1:10" s="1" customFormat="1" x14ac:dyDescent="0.2">
      <c r="A9" s="8">
        <v>43171</v>
      </c>
      <c r="B9" s="11" t="s">
        <v>197</v>
      </c>
      <c r="C9" s="15" t="s">
        <v>198</v>
      </c>
      <c r="D9" s="2" t="s">
        <v>199</v>
      </c>
      <c r="E9" s="2" t="s">
        <v>32</v>
      </c>
      <c r="F9" s="2" t="s">
        <v>22</v>
      </c>
      <c r="G9" s="19" t="s">
        <v>196</v>
      </c>
      <c r="H9" s="24">
        <v>43171</v>
      </c>
      <c r="I9" s="22"/>
    </row>
    <row r="10" spans="1:10" ht="25.5" x14ac:dyDescent="0.2">
      <c r="A10" s="8">
        <v>43171</v>
      </c>
      <c r="B10" s="9" t="s">
        <v>200</v>
      </c>
      <c r="C10" s="15" t="s">
        <v>201</v>
      </c>
      <c r="D10" s="2" t="s">
        <v>202</v>
      </c>
      <c r="E10" s="2" t="s">
        <v>32</v>
      </c>
      <c r="F10" s="2" t="s">
        <v>22</v>
      </c>
      <c r="G10" s="18" t="s">
        <v>196</v>
      </c>
      <c r="H10" s="23">
        <v>43171</v>
      </c>
      <c r="I10" s="7"/>
    </row>
    <row r="11" spans="1:10" ht="25.5" x14ac:dyDescent="0.2">
      <c r="A11" s="8">
        <v>43171</v>
      </c>
      <c r="B11" s="9" t="s">
        <v>203</v>
      </c>
      <c r="C11" s="15" t="s">
        <v>204</v>
      </c>
      <c r="D11" s="2" t="s">
        <v>205</v>
      </c>
      <c r="E11" s="2" t="s">
        <v>32</v>
      </c>
      <c r="F11" s="2" t="s">
        <v>22</v>
      </c>
      <c r="G11" s="18" t="s">
        <v>196</v>
      </c>
      <c r="H11" s="23">
        <v>43171</v>
      </c>
      <c r="I11" s="7"/>
    </row>
    <row r="12" spans="1:10" x14ac:dyDescent="0.2">
      <c r="A12" s="8">
        <v>43173</v>
      </c>
      <c r="B12" s="9" t="s">
        <v>212</v>
      </c>
      <c r="C12" s="15" t="s">
        <v>55</v>
      </c>
      <c r="D12" s="2" t="s">
        <v>213</v>
      </c>
      <c r="E12" s="2" t="s">
        <v>8</v>
      </c>
      <c r="F12" s="2" t="s">
        <v>22</v>
      </c>
      <c r="G12" s="18" t="s">
        <v>214</v>
      </c>
      <c r="H12" s="2" t="s">
        <v>215</v>
      </c>
      <c r="I12" s="7"/>
    </row>
    <row r="13" spans="1:10" x14ac:dyDescent="0.2">
      <c r="A13" s="8">
        <v>43180</v>
      </c>
      <c r="B13" s="9" t="s">
        <v>187</v>
      </c>
      <c r="C13" s="15" t="s">
        <v>236</v>
      </c>
      <c r="D13" s="2" t="s">
        <v>237</v>
      </c>
      <c r="E13" s="2" t="s">
        <v>188</v>
      </c>
      <c r="F13" s="2" t="s">
        <v>22</v>
      </c>
      <c r="G13" s="18" t="s">
        <v>238</v>
      </c>
      <c r="H13" s="2"/>
      <c r="I13" s="7"/>
    </row>
    <row r="14" spans="1:10" x14ac:dyDescent="0.2">
      <c r="A14" s="8">
        <v>43180</v>
      </c>
      <c r="B14" s="9" t="s">
        <v>146</v>
      </c>
      <c r="C14" s="15" t="s">
        <v>239</v>
      </c>
      <c r="D14" s="2" t="s">
        <v>240</v>
      </c>
      <c r="E14" s="2" t="s">
        <v>16</v>
      </c>
      <c r="F14" s="2" t="s">
        <v>22</v>
      </c>
      <c r="G14" s="18" t="s">
        <v>238</v>
      </c>
      <c r="H14" s="2"/>
      <c r="I14" s="7"/>
    </row>
    <row r="15" spans="1:10" x14ac:dyDescent="0.2">
      <c r="A15" s="8">
        <v>43182</v>
      </c>
      <c r="B15" s="9" t="s">
        <v>249</v>
      </c>
      <c r="C15" s="16" t="s">
        <v>250</v>
      </c>
      <c r="D15" s="2" t="s">
        <v>251</v>
      </c>
      <c r="E15" s="2" t="s">
        <v>252</v>
      </c>
      <c r="F15" s="2" t="s">
        <v>22</v>
      </c>
      <c r="G15" s="18" t="s">
        <v>247</v>
      </c>
      <c r="H15" s="2" t="s">
        <v>248</v>
      </c>
      <c r="I15" s="7"/>
    </row>
    <row r="16" spans="1:10" x14ac:dyDescent="0.2">
      <c r="A16" s="8">
        <v>43196</v>
      </c>
      <c r="B16" s="9" t="s">
        <v>50</v>
      </c>
      <c r="C16" s="15" t="s">
        <v>265</v>
      </c>
      <c r="D16" s="2" t="s">
        <v>266</v>
      </c>
      <c r="E16" s="2" t="s">
        <v>267</v>
      </c>
      <c r="F16" s="2" t="s">
        <v>22</v>
      </c>
      <c r="G16" s="25" t="s">
        <v>268</v>
      </c>
      <c r="H16" s="2" t="s">
        <v>269</v>
      </c>
      <c r="I16" s="7"/>
    </row>
    <row r="17" spans="1:9" x14ac:dyDescent="0.2">
      <c r="A17" s="8">
        <v>43202</v>
      </c>
      <c r="B17" s="9" t="s">
        <v>279</v>
      </c>
      <c r="C17" s="15" t="s">
        <v>55</v>
      </c>
      <c r="D17" s="2" t="s">
        <v>280</v>
      </c>
      <c r="E17" s="2" t="s">
        <v>16</v>
      </c>
      <c r="F17" s="2" t="s">
        <v>22</v>
      </c>
      <c r="G17" s="18"/>
      <c r="H17" s="23">
        <v>43202</v>
      </c>
      <c r="I17" s="7"/>
    </row>
    <row r="18" spans="1:9" x14ac:dyDescent="0.2">
      <c r="A18" s="8">
        <v>43207</v>
      </c>
      <c r="B18" s="9" t="s">
        <v>288</v>
      </c>
      <c r="C18" s="15" t="s">
        <v>289</v>
      </c>
      <c r="D18" s="2"/>
      <c r="E18" s="2" t="s">
        <v>127</v>
      </c>
      <c r="F18" s="2" t="s">
        <v>22</v>
      </c>
      <c r="G18" s="18" t="s">
        <v>290</v>
      </c>
      <c r="H18" s="23">
        <v>43207</v>
      </c>
      <c r="I18" s="7"/>
    </row>
    <row r="19" spans="1:9" ht="25.5" x14ac:dyDescent="0.2">
      <c r="A19" s="8">
        <v>43215</v>
      </c>
      <c r="B19" s="9" t="s">
        <v>305</v>
      </c>
      <c r="C19" s="15" t="s">
        <v>308</v>
      </c>
      <c r="D19" s="2" t="s">
        <v>306</v>
      </c>
      <c r="E19" s="2" t="s">
        <v>112</v>
      </c>
      <c r="F19" s="2" t="s">
        <v>22</v>
      </c>
      <c r="G19" s="18" t="s">
        <v>307</v>
      </c>
      <c r="H19" s="23">
        <v>43215</v>
      </c>
      <c r="I19" s="7"/>
    </row>
    <row r="20" spans="1:9" ht="25.5" x14ac:dyDescent="0.2">
      <c r="A20" s="8">
        <v>43216</v>
      </c>
      <c r="B20" s="9" t="s">
        <v>311</v>
      </c>
      <c r="C20" s="15" t="s">
        <v>312</v>
      </c>
      <c r="D20" s="2" t="s">
        <v>313</v>
      </c>
      <c r="E20" s="2" t="s">
        <v>273</v>
      </c>
      <c r="F20" s="2" t="s">
        <v>22</v>
      </c>
      <c r="G20" s="18" t="s">
        <v>314</v>
      </c>
      <c r="H20" s="23">
        <v>43216</v>
      </c>
      <c r="I20" s="7"/>
    </row>
    <row r="21" spans="1:9" x14ac:dyDescent="0.2">
      <c r="A21" s="8">
        <v>43223</v>
      </c>
      <c r="B21" s="9" t="s">
        <v>7</v>
      </c>
      <c r="C21" s="15" t="s">
        <v>55</v>
      </c>
      <c r="D21" s="2" t="s">
        <v>328</v>
      </c>
      <c r="E21" s="2" t="s">
        <v>8</v>
      </c>
      <c r="F21" s="2" t="s">
        <v>22</v>
      </c>
      <c r="G21" s="18" t="s">
        <v>329</v>
      </c>
      <c r="H21" s="23">
        <v>43223</v>
      </c>
      <c r="I21" s="7"/>
    </row>
    <row r="22" spans="1:9" x14ac:dyDescent="0.2">
      <c r="A22" s="8">
        <v>43223</v>
      </c>
      <c r="B22" s="9" t="s">
        <v>330</v>
      </c>
      <c r="C22" s="15" t="s">
        <v>331</v>
      </c>
      <c r="D22" s="2" t="s">
        <v>332</v>
      </c>
      <c r="E22" s="2" t="s">
        <v>16</v>
      </c>
      <c r="F22" s="2" t="s">
        <v>22</v>
      </c>
      <c r="G22" s="18" t="s">
        <v>333</v>
      </c>
      <c r="H22" s="23">
        <v>43223</v>
      </c>
      <c r="I22" s="7"/>
    </row>
    <row r="23" spans="1:9" x14ac:dyDescent="0.2">
      <c r="A23" s="8">
        <v>43237</v>
      </c>
      <c r="B23" s="9" t="s">
        <v>454</v>
      </c>
      <c r="C23" s="15" t="s">
        <v>331</v>
      </c>
      <c r="D23" s="2" t="s">
        <v>455</v>
      </c>
      <c r="E23" s="2" t="s">
        <v>16</v>
      </c>
      <c r="F23" s="2" t="s">
        <v>22</v>
      </c>
      <c r="G23" s="18" t="s">
        <v>456</v>
      </c>
      <c r="H23" s="23">
        <v>43237</v>
      </c>
      <c r="I23" s="7"/>
    </row>
    <row r="24" spans="1:9" x14ac:dyDescent="0.2">
      <c r="A24" s="8">
        <v>43237</v>
      </c>
      <c r="B24" s="9" t="s">
        <v>457</v>
      </c>
      <c r="C24" s="15" t="s">
        <v>331</v>
      </c>
      <c r="D24" s="2" t="s">
        <v>458</v>
      </c>
      <c r="E24" s="2" t="s">
        <v>16</v>
      </c>
      <c r="F24" s="2" t="s">
        <v>22</v>
      </c>
      <c r="G24" s="18" t="s">
        <v>459</v>
      </c>
      <c r="H24" s="23">
        <v>43237</v>
      </c>
      <c r="I24" s="7"/>
    </row>
    <row r="25" spans="1:9" x14ac:dyDescent="0.2">
      <c r="A25" s="8">
        <v>43237</v>
      </c>
      <c r="B25" s="9" t="s">
        <v>19</v>
      </c>
      <c r="C25" s="15" t="s">
        <v>331</v>
      </c>
      <c r="D25" s="2" t="s">
        <v>460</v>
      </c>
      <c r="E25" s="2" t="s">
        <v>16</v>
      </c>
      <c r="F25" s="2" t="s">
        <v>22</v>
      </c>
      <c r="G25" s="18" t="s">
        <v>461</v>
      </c>
      <c r="H25" s="23">
        <v>43237</v>
      </c>
      <c r="I25" s="7"/>
    </row>
    <row r="26" spans="1:9" x14ac:dyDescent="0.2">
      <c r="A26" s="8">
        <v>43238</v>
      </c>
      <c r="B26" s="9" t="s">
        <v>463</v>
      </c>
      <c r="C26" s="15" t="s">
        <v>464</v>
      </c>
      <c r="D26" s="2" t="s">
        <v>121</v>
      </c>
      <c r="E26" s="2"/>
      <c r="F26" s="2"/>
      <c r="G26" s="18"/>
      <c r="H26" s="23">
        <v>43238</v>
      </c>
      <c r="I26" s="7"/>
    </row>
    <row r="27" spans="1:9" x14ac:dyDescent="0.2">
      <c r="A27" s="8">
        <v>43241</v>
      </c>
      <c r="B27" s="9" t="s">
        <v>253</v>
      </c>
      <c r="C27" s="15" t="s">
        <v>265</v>
      </c>
      <c r="D27" s="2" t="s">
        <v>465</v>
      </c>
      <c r="E27" s="2" t="s">
        <v>53</v>
      </c>
      <c r="F27" s="2" t="s">
        <v>22</v>
      </c>
      <c r="G27" s="18" t="s">
        <v>466</v>
      </c>
      <c r="H27" s="23">
        <v>43241</v>
      </c>
      <c r="I27" s="7"/>
    </row>
    <row r="28" spans="1:9" x14ac:dyDescent="0.2">
      <c r="A28" s="8">
        <v>43241</v>
      </c>
      <c r="B28" s="9" t="s">
        <v>467</v>
      </c>
      <c r="C28" s="15" t="s">
        <v>468</v>
      </c>
      <c r="D28" s="2" t="s">
        <v>469</v>
      </c>
      <c r="E28" s="2" t="s">
        <v>164</v>
      </c>
      <c r="F28" s="2" t="s">
        <v>22</v>
      </c>
      <c r="G28" s="18" t="s">
        <v>470</v>
      </c>
      <c r="H28" s="23">
        <v>43241</v>
      </c>
      <c r="I28" s="7"/>
    </row>
    <row r="29" spans="1:9" ht="25.5" x14ac:dyDescent="0.2">
      <c r="A29" s="8">
        <v>43243</v>
      </c>
      <c r="B29" s="9" t="s">
        <v>492</v>
      </c>
      <c r="C29" s="15" t="s">
        <v>493</v>
      </c>
      <c r="D29" s="2"/>
      <c r="E29" s="2"/>
      <c r="F29" s="2" t="s">
        <v>22</v>
      </c>
      <c r="G29" s="25" t="s">
        <v>494</v>
      </c>
      <c r="H29" s="23">
        <v>43243</v>
      </c>
      <c r="I29" s="7"/>
    </row>
    <row r="30" spans="1:9" ht="25.5" x14ac:dyDescent="0.2">
      <c r="A30" s="8">
        <v>43244</v>
      </c>
      <c r="B30" s="9" t="s">
        <v>499</v>
      </c>
      <c r="C30" s="15" t="s">
        <v>500</v>
      </c>
      <c r="D30" s="2"/>
      <c r="E30" s="2" t="s">
        <v>67</v>
      </c>
      <c r="F30" s="2" t="s">
        <v>22</v>
      </c>
      <c r="G30" s="18" t="s">
        <v>494</v>
      </c>
      <c r="H30" s="23">
        <v>43244</v>
      </c>
      <c r="I30" s="7"/>
    </row>
    <row r="31" spans="1:9" x14ac:dyDescent="0.2">
      <c r="A31" s="8">
        <v>43248</v>
      </c>
      <c r="B31" s="9" t="s">
        <v>531</v>
      </c>
      <c r="C31" s="15" t="s">
        <v>532</v>
      </c>
      <c r="D31" s="2" t="s">
        <v>25</v>
      </c>
      <c r="E31" s="2" t="s">
        <v>16</v>
      </c>
      <c r="F31" s="2" t="s">
        <v>22</v>
      </c>
      <c r="G31" s="18" t="s">
        <v>530</v>
      </c>
      <c r="H31" s="23">
        <v>43248</v>
      </c>
      <c r="I31" s="7"/>
    </row>
    <row r="32" spans="1:9" x14ac:dyDescent="0.2">
      <c r="A32" s="8">
        <v>43248</v>
      </c>
      <c r="B32" s="9" t="s">
        <v>533</v>
      </c>
      <c r="C32" s="15" t="s">
        <v>532</v>
      </c>
      <c r="D32" s="2"/>
      <c r="E32" s="2" t="s">
        <v>67</v>
      </c>
      <c r="F32" s="2" t="s">
        <v>22</v>
      </c>
      <c r="G32" s="18" t="s">
        <v>530</v>
      </c>
      <c r="H32" s="23">
        <v>43248</v>
      </c>
      <c r="I32" s="7"/>
    </row>
    <row r="33" spans="1:18" ht="25.5" x14ac:dyDescent="0.2">
      <c r="A33" s="8">
        <v>43272</v>
      </c>
      <c r="B33" s="9" t="s">
        <v>614</v>
      </c>
      <c r="C33" s="15" t="s">
        <v>615</v>
      </c>
      <c r="D33" s="2" t="s">
        <v>547</v>
      </c>
      <c r="E33" s="2" t="s">
        <v>548</v>
      </c>
      <c r="F33" s="2" t="s">
        <v>22</v>
      </c>
      <c r="G33" s="25" t="s">
        <v>616</v>
      </c>
      <c r="H33" s="23">
        <v>43272</v>
      </c>
      <c r="I33" s="7"/>
    </row>
    <row r="34" spans="1:18" x14ac:dyDescent="0.2">
      <c r="A34" s="8">
        <v>43272</v>
      </c>
      <c r="B34" s="9" t="s">
        <v>621</v>
      </c>
      <c r="C34" s="15" t="s">
        <v>622</v>
      </c>
      <c r="D34" s="2" t="s">
        <v>623</v>
      </c>
      <c r="E34" s="2" t="s">
        <v>32</v>
      </c>
      <c r="F34" s="2" t="s">
        <v>22</v>
      </c>
      <c r="G34" s="18" t="s">
        <v>616</v>
      </c>
      <c r="H34" s="23">
        <v>43272</v>
      </c>
      <c r="I34" s="7"/>
    </row>
    <row r="35" spans="1:18" ht="25.5" x14ac:dyDescent="0.2">
      <c r="A35" s="8">
        <v>43272</v>
      </c>
      <c r="B35" s="9" t="s">
        <v>549</v>
      </c>
      <c r="C35" s="15" t="s">
        <v>624</v>
      </c>
      <c r="D35" s="2" t="s">
        <v>547</v>
      </c>
      <c r="E35" s="2" t="s">
        <v>548</v>
      </c>
      <c r="F35" s="2" t="s">
        <v>22</v>
      </c>
      <c r="G35" s="25" t="s">
        <v>616</v>
      </c>
      <c r="H35" s="23">
        <v>43272</v>
      </c>
      <c r="I35" s="7"/>
    </row>
    <row r="36" spans="1:18" x14ac:dyDescent="0.2">
      <c r="A36" s="8">
        <v>43286</v>
      </c>
      <c r="B36" s="9" t="s">
        <v>670</v>
      </c>
      <c r="C36" s="15" t="s">
        <v>671</v>
      </c>
      <c r="D36" s="3" t="s">
        <v>672</v>
      </c>
      <c r="E36" s="2" t="s">
        <v>626</v>
      </c>
      <c r="F36" s="2" t="s">
        <v>22</v>
      </c>
      <c r="G36" s="25">
        <v>43286</v>
      </c>
      <c r="H36" s="23">
        <v>43286</v>
      </c>
      <c r="I36" s="7"/>
    </row>
    <row r="37" spans="1:18" x14ac:dyDescent="0.2">
      <c r="A37" s="8">
        <v>43286</v>
      </c>
      <c r="B37" s="9" t="s">
        <v>673</v>
      </c>
      <c r="C37" s="15" t="s">
        <v>671</v>
      </c>
      <c r="D37" s="2" t="s">
        <v>674</v>
      </c>
      <c r="E37" s="2" t="s">
        <v>301</v>
      </c>
      <c r="F37" s="2" t="s">
        <v>22</v>
      </c>
      <c r="G37" s="25">
        <v>43286</v>
      </c>
      <c r="H37" s="23">
        <v>43286</v>
      </c>
      <c r="I37" s="7"/>
    </row>
    <row r="38" spans="1:18" x14ac:dyDescent="0.2">
      <c r="A38" s="8">
        <v>43286</v>
      </c>
      <c r="B38" s="9" t="s">
        <v>675</v>
      </c>
      <c r="C38" s="17" t="s">
        <v>671</v>
      </c>
      <c r="D38" s="2" t="s">
        <v>676</v>
      </c>
      <c r="E38" s="2" t="s">
        <v>677</v>
      </c>
      <c r="F38" s="2" t="s">
        <v>22</v>
      </c>
      <c r="G38" s="25">
        <v>43286</v>
      </c>
      <c r="H38" s="23">
        <v>43286</v>
      </c>
      <c r="I38" s="7"/>
    </row>
    <row r="39" spans="1:18" x14ac:dyDescent="0.2">
      <c r="A39" s="8">
        <v>43286</v>
      </c>
      <c r="B39" s="9" t="s">
        <v>678</v>
      </c>
      <c r="C39" s="15" t="s">
        <v>671</v>
      </c>
      <c r="D39" s="2" t="s">
        <v>679</v>
      </c>
      <c r="E39" s="2" t="s">
        <v>32</v>
      </c>
      <c r="F39" s="2" t="s">
        <v>22</v>
      </c>
      <c r="G39" s="25">
        <v>43286</v>
      </c>
      <c r="H39" s="23">
        <v>43286</v>
      </c>
      <c r="I39" s="7"/>
    </row>
    <row r="40" spans="1:18" x14ac:dyDescent="0.2">
      <c r="A40" s="8">
        <v>43294</v>
      </c>
      <c r="B40" s="9" t="s">
        <v>708</v>
      </c>
      <c r="C40" s="15" t="s">
        <v>709</v>
      </c>
      <c r="D40" s="2" t="s">
        <v>710</v>
      </c>
      <c r="E40" s="2" t="s">
        <v>67</v>
      </c>
      <c r="F40" s="2" t="s">
        <v>22</v>
      </c>
      <c r="G40" s="25">
        <v>43294</v>
      </c>
      <c r="H40" s="23">
        <v>43294</v>
      </c>
      <c r="I40" s="7"/>
    </row>
    <row r="41" spans="1:18" ht="25.5" x14ac:dyDescent="0.2">
      <c r="A41" s="8">
        <v>43294</v>
      </c>
      <c r="B41" s="9" t="s">
        <v>730</v>
      </c>
      <c r="C41" s="15" t="s">
        <v>731</v>
      </c>
      <c r="D41" s="2" t="s">
        <v>732</v>
      </c>
      <c r="E41" s="2" t="s">
        <v>91</v>
      </c>
      <c r="F41" s="2" t="s">
        <v>22</v>
      </c>
      <c r="G41" s="18"/>
      <c r="H41" s="23">
        <v>43294</v>
      </c>
      <c r="I41" s="7"/>
    </row>
    <row r="42" spans="1:18" x14ac:dyDescent="0.2">
      <c r="A42" s="8">
        <v>43307</v>
      </c>
      <c r="B42" s="9" t="s">
        <v>759</v>
      </c>
      <c r="C42" s="15" t="s">
        <v>55</v>
      </c>
      <c r="D42" s="2" t="s">
        <v>760</v>
      </c>
      <c r="E42" s="2" t="s">
        <v>761</v>
      </c>
      <c r="F42" s="2" t="s">
        <v>39</v>
      </c>
      <c r="G42" s="25">
        <v>43307</v>
      </c>
      <c r="H42" s="23">
        <v>43307</v>
      </c>
      <c r="I42" s="7"/>
    </row>
    <row r="43" spans="1:18" x14ac:dyDescent="0.2">
      <c r="A43" s="8">
        <v>43312</v>
      </c>
      <c r="B43" s="9" t="s">
        <v>146</v>
      </c>
      <c r="C43" s="15" t="s">
        <v>544</v>
      </c>
      <c r="D43" s="6" t="s">
        <v>545</v>
      </c>
      <c r="E43" s="2" t="s">
        <v>16</v>
      </c>
      <c r="F43" s="2" t="s">
        <v>39</v>
      </c>
      <c r="G43" s="25">
        <v>43250</v>
      </c>
      <c r="H43" s="23">
        <v>43312</v>
      </c>
      <c r="I43" s="130" t="s">
        <v>808</v>
      </c>
      <c r="J43" s="131"/>
      <c r="K43" s="131"/>
      <c r="L43" s="131"/>
      <c r="M43" s="131"/>
      <c r="N43" s="131"/>
      <c r="O43" s="131"/>
      <c r="P43" s="131"/>
      <c r="Q43" s="131"/>
      <c r="R43" t="s">
        <v>809</v>
      </c>
    </row>
    <row r="44" spans="1:18" ht="51" x14ac:dyDescent="0.2">
      <c r="A44" s="8">
        <v>43312</v>
      </c>
      <c r="B44" s="9" t="s">
        <v>228</v>
      </c>
      <c r="C44" s="10" t="s">
        <v>811</v>
      </c>
      <c r="D44" s="2" t="s">
        <v>810</v>
      </c>
      <c r="E44" s="2" t="s">
        <v>188</v>
      </c>
      <c r="F44" s="2" t="s">
        <v>172</v>
      </c>
      <c r="G44" s="94" t="s">
        <v>812</v>
      </c>
      <c r="H44" s="23">
        <v>43312</v>
      </c>
      <c r="I44" s="7"/>
    </row>
    <row r="45" spans="1:18" ht="51" x14ac:dyDescent="0.2">
      <c r="A45" s="8">
        <v>43312</v>
      </c>
      <c r="B45" s="9" t="s">
        <v>813</v>
      </c>
      <c r="C45" s="10" t="s">
        <v>814</v>
      </c>
      <c r="D45" s="2" t="s">
        <v>815</v>
      </c>
      <c r="E45" s="2" t="s">
        <v>53</v>
      </c>
      <c r="F45" s="2" t="s">
        <v>172</v>
      </c>
      <c r="G45" s="94" t="s">
        <v>812</v>
      </c>
      <c r="H45" s="23">
        <v>43312</v>
      </c>
      <c r="I45" s="7"/>
    </row>
    <row r="46" spans="1:18" ht="25.5" x14ac:dyDescent="0.2">
      <c r="A46" s="8">
        <v>43315</v>
      </c>
      <c r="B46" s="9" t="s">
        <v>827</v>
      </c>
      <c r="C46" s="10" t="s">
        <v>828</v>
      </c>
      <c r="D46" s="2" t="s">
        <v>625</v>
      </c>
      <c r="E46" s="2" t="s">
        <v>626</v>
      </c>
      <c r="F46" s="2" t="s">
        <v>39</v>
      </c>
      <c r="G46" s="25">
        <v>43314</v>
      </c>
      <c r="H46" s="23">
        <v>43315</v>
      </c>
      <c r="I46" s="7"/>
    </row>
    <row r="47" spans="1:18" x14ac:dyDescent="0.2">
      <c r="A47" s="8">
        <v>43315</v>
      </c>
      <c r="B47" s="9" t="s">
        <v>829</v>
      </c>
      <c r="C47" s="10" t="s">
        <v>830</v>
      </c>
      <c r="D47" s="2" t="s">
        <v>831</v>
      </c>
      <c r="E47" s="2" t="s">
        <v>86</v>
      </c>
      <c r="F47" s="2" t="s">
        <v>39</v>
      </c>
      <c r="G47" s="25">
        <v>43314</v>
      </c>
      <c r="H47" s="23">
        <v>43315</v>
      </c>
      <c r="I47" s="7"/>
    </row>
    <row r="48" spans="1:18" x14ac:dyDescent="0.2">
      <c r="A48" s="8">
        <v>43315</v>
      </c>
      <c r="B48" s="9" t="s">
        <v>832</v>
      </c>
      <c r="C48" s="10" t="s">
        <v>833</v>
      </c>
      <c r="D48" s="2" t="s">
        <v>834</v>
      </c>
      <c r="E48" s="2"/>
      <c r="F48" s="2" t="s">
        <v>39</v>
      </c>
      <c r="G48" s="25">
        <v>43314</v>
      </c>
      <c r="H48" s="23">
        <v>43315</v>
      </c>
      <c r="I48" s="7"/>
    </row>
    <row r="49" spans="1:13" ht="25.5" x14ac:dyDescent="0.2">
      <c r="A49" s="8">
        <v>43320</v>
      </c>
      <c r="B49" s="9" t="s">
        <v>860</v>
      </c>
      <c r="C49" s="10" t="s">
        <v>862</v>
      </c>
      <c r="D49" s="2" t="s">
        <v>861</v>
      </c>
      <c r="E49" s="2" t="s">
        <v>761</v>
      </c>
      <c r="F49" s="2" t="s">
        <v>22</v>
      </c>
      <c r="G49" s="25">
        <v>43305</v>
      </c>
      <c r="H49" s="23">
        <v>43320</v>
      </c>
      <c r="I49" s="130" t="s">
        <v>863</v>
      </c>
      <c r="J49" s="131"/>
      <c r="K49" s="131"/>
      <c r="L49" s="131"/>
      <c r="M49" s="131"/>
    </row>
    <row r="50" spans="1:13" ht="25.5" x14ac:dyDescent="0.2">
      <c r="A50" s="8">
        <v>43320</v>
      </c>
      <c r="B50" s="9" t="s">
        <v>864</v>
      </c>
      <c r="C50" s="10" t="s">
        <v>865</v>
      </c>
      <c r="D50" s="2" t="s">
        <v>866</v>
      </c>
      <c r="E50" s="2" t="s">
        <v>32</v>
      </c>
      <c r="F50" s="2" t="s">
        <v>22</v>
      </c>
      <c r="G50" s="25">
        <v>43305</v>
      </c>
      <c r="H50" s="23">
        <v>43320</v>
      </c>
      <c r="I50" s="95"/>
    </row>
    <row r="51" spans="1:13" ht="25.5" x14ac:dyDescent="0.2">
      <c r="A51" s="8">
        <v>43320</v>
      </c>
      <c r="B51" s="9" t="s">
        <v>867</v>
      </c>
      <c r="C51" s="10" t="s">
        <v>868</v>
      </c>
      <c r="D51" s="2" t="s">
        <v>869</v>
      </c>
      <c r="E51" s="2" t="s">
        <v>16</v>
      </c>
      <c r="F51" s="2" t="s">
        <v>22</v>
      </c>
      <c r="G51" s="25">
        <v>43305</v>
      </c>
      <c r="H51" s="23">
        <v>43320</v>
      </c>
      <c r="I51" s="95"/>
    </row>
    <row r="52" spans="1:13" ht="25.5" x14ac:dyDescent="0.2">
      <c r="A52" s="8">
        <v>43320</v>
      </c>
      <c r="B52" s="9" t="s">
        <v>549</v>
      </c>
      <c r="C52" s="10" t="s">
        <v>870</v>
      </c>
      <c r="D52" s="2" t="s">
        <v>871</v>
      </c>
      <c r="E52" s="2" t="s">
        <v>548</v>
      </c>
      <c r="F52" s="2" t="s">
        <v>22</v>
      </c>
      <c r="G52" s="25">
        <v>43305</v>
      </c>
      <c r="H52" s="23">
        <v>43320</v>
      </c>
      <c r="I52" s="95"/>
    </row>
    <row r="53" spans="1:13" x14ac:dyDescent="0.2">
      <c r="A53" s="8">
        <v>43328</v>
      </c>
      <c r="B53" s="9" t="s">
        <v>549</v>
      </c>
      <c r="C53" s="10" t="s">
        <v>895</v>
      </c>
      <c r="D53" s="2" t="s">
        <v>547</v>
      </c>
      <c r="E53" s="2" t="s">
        <v>548</v>
      </c>
      <c r="F53" s="2" t="s">
        <v>22</v>
      </c>
      <c r="G53" s="25">
        <v>43328</v>
      </c>
      <c r="H53" s="23">
        <v>43328</v>
      </c>
      <c r="I53" s="95"/>
    </row>
    <row r="54" spans="1:13" ht="25.5" x14ac:dyDescent="0.2">
      <c r="A54" s="8">
        <v>43335</v>
      </c>
      <c r="B54" s="9" t="s">
        <v>927</v>
      </c>
      <c r="C54" s="10" t="s">
        <v>925</v>
      </c>
      <c r="D54" s="2" t="s">
        <v>926</v>
      </c>
      <c r="E54" s="2" t="s">
        <v>102</v>
      </c>
      <c r="F54" s="2" t="s">
        <v>22</v>
      </c>
      <c r="G54" s="25">
        <v>43335</v>
      </c>
      <c r="H54" s="23">
        <v>43335</v>
      </c>
      <c r="I54" s="98" t="s">
        <v>928</v>
      </c>
    </row>
    <row r="55" spans="1:13" x14ac:dyDescent="0.2">
      <c r="A55" s="8">
        <v>43335</v>
      </c>
      <c r="B55" s="9" t="s">
        <v>929</v>
      </c>
      <c r="C55" s="10" t="s">
        <v>930</v>
      </c>
      <c r="D55" s="2" t="s">
        <v>931</v>
      </c>
      <c r="E55" s="2" t="s">
        <v>86</v>
      </c>
      <c r="F55" s="2" t="s">
        <v>932</v>
      </c>
      <c r="G55" s="25">
        <v>43318</v>
      </c>
      <c r="H55" s="23">
        <v>43335</v>
      </c>
      <c r="I55" s="95"/>
    </row>
    <row r="56" spans="1:13" ht="38.25" x14ac:dyDescent="0.2">
      <c r="A56" s="8">
        <v>43340</v>
      </c>
      <c r="B56" s="9" t="s">
        <v>948</v>
      </c>
      <c r="C56" s="10" t="s">
        <v>950</v>
      </c>
      <c r="D56" s="2" t="s">
        <v>949</v>
      </c>
      <c r="E56" s="2" t="s">
        <v>593</v>
      </c>
      <c r="F56" s="2" t="s">
        <v>22</v>
      </c>
      <c r="G56" s="25">
        <v>43340</v>
      </c>
      <c r="H56" s="23">
        <v>43340</v>
      </c>
      <c r="I56" s="98" t="s">
        <v>951</v>
      </c>
    </row>
    <row r="57" spans="1:13" ht="38.25" x14ac:dyDescent="0.2">
      <c r="A57" s="8">
        <v>43340</v>
      </c>
      <c r="B57" s="9" t="s">
        <v>952</v>
      </c>
      <c r="C57" s="10" t="s">
        <v>953</v>
      </c>
      <c r="D57" s="2" t="s">
        <v>954</v>
      </c>
      <c r="E57" s="2" t="s">
        <v>77</v>
      </c>
      <c r="F57" s="2" t="s">
        <v>22</v>
      </c>
      <c r="G57" s="25"/>
      <c r="H57" s="23">
        <v>43340</v>
      </c>
      <c r="I57" s="99"/>
    </row>
    <row r="58" spans="1:13" ht="25.5" x14ac:dyDescent="0.2">
      <c r="A58" s="8">
        <v>43340</v>
      </c>
      <c r="B58" s="9" t="s">
        <v>957</v>
      </c>
      <c r="C58" s="10" t="s">
        <v>958</v>
      </c>
      <c r="D58" s="2"/>
      <c r="E58" s="2" t="s">
        <v>164</v>
      </c>
      <c r="F58" s="2" t="s">
        <v>22</v>
      </c>
      <c r="G58" s="25">
        <v>43340</v>
      </c>
      <c r="H58" s="23">
        <v>43340</v>
      </c>
      <c r="I58" s="99" t="s">
        <v>951</v>
      </c>
    </row>
    <row r="59" spans="1:13" ht="38.25" x14ac:dyDescent="0.2">
      <c r="A59" s="8">
        <v>43340</v>
      </c>
      <c r="B59" s="9" t="s">
        <v>959</v>
      </c>
      <c r="C59" s="10" t="s">
        <v>960</v>
      </c>
      <c r="D59" s="2" t="s">
        <v>949</v>
      </c>
      <c r="E59" s="2" t="s">
        <v>593</v>
      </c>
      <c r="F59" s="2" t="s">
        <v>22</v>
      </c>
      <c r="G59" s="25">
        <v>43340</v>
      </c>
      <c r="H59" s="23">
        <v>43340</v>
      </c>
      <c r="I59" s="98" t="s">
        <v>951</v>
      </c>
    </row>
    <row r="60" spans="1:13" x14ac:dyDescent="0.2">
      <c r="A60" s="8">
        <v>43343</v>
      </c>
      <c r="B60" s="9" t="s">
        <v>846</v>
      </c>
      <c r="C60" s="10" t="s">
        <v>895</v>
      </c>
      <c r="D60" s="2" t="s">
        <v>979</v>
      </c>
      <c r="E60" s="2" t="s">
        <v>53</v>
      </c>
      <c r="F60" s="2" t="s">
        <v>22</v>
      </c>
      <c r="G60" s="25">
        <v>43343</v>
      </c>
      <c r="H60" s="23">
        <v>43343</v>
      </c>
      <c r="I60" s="99"/>
    </row>
    <row r="61" spans="1:13" ht="25.5" x14ac:dyDescent="0.2">
      <c r="A61" s="8">
        <v>43354</v>
      </c>
      <c r="B61" s="9" t="s">
        <v>1011</v>
      </c>
      <c r="C61" s="10" t="s">
        <v>1013</v>
      </c>
      <c r="D61" s="2" t="s">
        <v>1012</v>
      </c>
      <c r="E61" s="2" t="s">
        <v>16</v>
      </c>
      <c r="F61" s="5" t="s">
        <v>1014</v>
      </c>
      <c r="G61" s="25">
        <v>43354</v>
      </c>
      <c r="H61" s="23">
        <v>43354</v>
      </c>
      <c r="I61" s="130" t="s">
        <v>1015</v>
      </c>
      <c r="J61" s="131"/>
      <c r="K61" s="131"/>
      <c r="L61" s="131"/>
      <c r="M61" s="131"/>
    </row>
    <row r="62" spans="1:13" x14ac:dyDescent="0.2">
      <c r="A62" s="8">
        <v>43360</v>
      </c>
      <c r="B62" s="9" t="s">
        <v>1055</v>
      </c>
      <c r="C62" s="10" t="s">
        <v>1056</v>
      </c>
      <c r="D62" s="2" t="s">
        <v>1057</v>
      </c>
      <c r="E62" s="2" t="s">
        <v>91</v>
      </c>
      <c r="F62" s="2" t="s">
        <v>22</v>
      </c>
      <c r="G62" s="25">
        <v>43360</v>
      </c>
      <c r="H62" s="23">
        <v>43360</v>
      </c>
      <c r="I62" s="99"/>
    </row>
    <row r="63" spans="1:13" ht="25.5" x14ac:dyDescent="0.2">
      <c r="A63" s="8">
        <v>43360</v>
      </c>
      <c r="B63" s="9" t="s">
        <v>1045</v>
      </c>
      <c r="C63" s="10" t="s">
        <v>1058</v>
      </c>
      <c r="D63" s="2" t="s">
        <v>1059</v>
      </c>
      <c r="E63" s="2" t="s">
        <v>91</v>
      </c>
      <c r="F63" s="2" t="s">
        <v>22</v>
      </c>
      <c r="G63" s="25">
        <v>43360</v>
      </c>
      <c r="H63" s="23">
        <v>43360</v>
      </c>
      <c r="I63" s="99"/>
    </row>
    <row r="64" spans="1:13" x14ac:dyDescent="0.2">
      <c r="A64" s="8">
        <v>43360</v>
      </c>
      <c r="B64" s="9" t="s">
        <v>1047</v>
      </c>
      <c r="C64" s="10" t="s">
        <v>606</v>
      </c>
      <c r="D64" s="2" t="s">
        <v>1060</v>
      </c>
      <c r="E64" s="2" t="s">
        <v>43</v>
      </c>
      <c r="F64" s="2" t="s">
        <v>22</v>
      </c>
      <c r="G64" s="25">
        <v>43360</v>
      </c>
      <c r="H64" s="23">
        <v>43360</v>
      </c>
      <c r="I64" s="99"/>
    </row>
    <row r="65" spans="1:9" ht="25.5" x14ac:dyDescent="0.2">
      <c r="A65" s="8">
        <v>43361</v>
      </c>
      <c r="B65" s="9" t="s">
        <v>1050</v>
      </c>
      <c r="C65" s="10" t="s">
        <v>1049</v>
      </c>
      <c r="D65" s="2" t="s">
        <v>1061</v>
      </c>
      <c r="E65" s="2" t="s">
        <v>77</v>
      </c>
      <c r="F65" s="2" t="s">
        <v>22</v>
      </c>
      <c r="G65" s="25">
        <v>43361</v>
      </c>
      <c r="H65" s="23">
        <v>43361</v>
      </c>
      <c r="I65" s="99"/>
    </row>
    <row r="66" spans="1:9" ht="25.5" x14ac:dyDescent="0.2">
      <c r="A66" s="8">
        <v>43361</v>
      </c>
      <c r="B66" s="9" t="s">
        <v>1062</v>
      </c>
      <c r="C66" s="10" t="s">
        <v>1063</v>
      </c>
      <c r="D66" s="2" t="s">
        <v>1064</v>
      </c>
      <c r="E66" s="2" t="s">
        <v>32</v>
      </c>
      <c r="F66" s="2" t="s">
        <v>22</v>
      </c>
      <c r="G66" s="25">
        <v>43361</v>
      </c>
      <c r="H66" s="23">
        <v>43361</v>
      </c>
      <c r="I66" s="99"/>
    </row>
    <row r="67" spans="1:9" ht="25.5" x14ac:dyDescent="0.2">
      <c r="A67" s="8">
        <v>43361</v>
      </c>
      <c r="B67" s="9" t="s">
        <v>1065</v>
      </c>
      <c r="C67" s="10" t="s">
        <v>1066</v>
      </c>
      <c r="D67" s="2" t="s">
        <v>1067</v>
      </c>
      <c r="E67" s="2" t="s">
        <v>91</v>
      </c>
      <c r="F67" s="2" t="s">
        <v>22</v>
      </c>
      <c r="G67" s="25">
        <v>43361</v>
      </c>
      <c r="H67" s="23">
        <v>43361</v>
      </c>
      <c r="I67" s="99"/>
    </row>
    <row r="68" spans="1:9" x14ac:dyDescent="0.2">
      <c r="A68" s="8">
        <v>43361</v>
      </c>
      <c r="B68" s="9" t="s">
        <v>1068</v>
      </c>
      <c r="C68" s="10" t="s">
        <v>1069</v>
      </c>
      <c r="D68" s="2" t="s">
        <v>1070</v>
      </c>
      <c r="E68" s="2" t="s">
        <v>91</v>
      </c>
      <c r="F68" s="2" t="s">
        <v>22</v>
      </c>
      <c r="G68" s="25">
        <v>43361</v>
      </c>
      <c r="H68" s="23">
        <v>43361</v>
      </c>
      <c r="I68" s="99"/>
    </row>
    <row r="69" spans="1:9" ht="25.5" x14ac:dyDescent="0.2">
      <c r="A69" s="8">
        <v>43361</v>
      </c>
      <c r="B69" s="9" t="s">
        <v>1071</v>
      </c>
      <c r="C69" s="10" t="s">
        <v>1072</v>
      </c>
      <c r="D69" s="2" t="s">
        <v>1073</v>
      </c>
      <c r="E69" s="2" t="s">
        <v>360</v>
      </c>
      <c r="F69" s="2" t="s">
        <v>22</v>
      </c>
      <c r="G69" s="25">
        <v>43361</v>
      </c>
      <c r="H69" s="23">
        <v>43361</v>
      </c>
      <c r="I69" s="99"/>
    </row>
    <row r="70" spans="1:9" ht="25.5" x14ac:dyDescent="0.2">
      <c r="A70" s="8">
        <v>43363</v>
      </c>
      <c r="B70" s="9" t="s">
        <v>1086</v>
      </c>
      <c r="C70" s="10" t="s">
        <v>1087</v>
      </c>
      <c r="D70" s="2" t="s">
        <v>1088</v>
      </c>
      <c r="E70" s="71" t="s">
        <v>91</v>
      </c>
      <c r="F70" s="2" t="s">
        <v>22</v>
      </c>
      <c r="G70" s="25">
        <v>43363</v>
      </c>
      <c r="H70" s="23">
        <v>43363</v>
      </c>
      <c r="I70" s="99"/>
    </row>
    <row r="71" spans="1:9" ht="24" x14ac:dyDescent="0.2">
      <c r="A71" s="8">
        <v>43369</v>
      </c>
      <c r="B71" s="9" t="s">
        <v>1111</v>
      </c>
      <c r="C71" s="70" t="s">
        <v>1112</v>
      </c>
      <c r="D71" s="72" t="s">
        <v>1113</v>
      </c>
      <c r="E71" s="71" t="s">
        <v>91</v>
      </c>
      <c r="F71" s="2" t="s">
        <v>22</v>
      </c>
      <c r="G71" s="25">
        <v>43369</v>
      </c>
      <c r="H71" s="23">
        <v>43369</v>
      </c>
      <c r="I71" s="99"/>
    </row>
    <row r="72" spans="1:9" ht="36" x14ac:dyDescent="0.2">
      <c r="A72" s="8">
        <v>43370</v>
      </c>
      <c r="B72" s="9" t="s">
        <v>1139</v>
      </c>
      <c r="C72" s="70" t="s">
        <v>1140</v>
      </c>
      <c r="D72" s="72" t="s">
        <v>1141</v>
      </c>
      <c r="E72" s="71" t="s">
        <v>677</v>
      </c>
      <c r="F72" s="2" t="s">
        <v>22</v>
      </c>
      <c r="G72" s="25">
        <v>43370</v>
      </c>
      <c r="H72" s="23">
        <v>43370</v>
      </c>
      <c r="I72" s="104"/>
    </row>
    <row r="73" spans="1:9" ht="25.5" x14ac:dyDescent="0.2">
      <c r="A73" s="8">
        <v>43374</v>
      </c>
      <c r="B73" s="9" t="s">
        <v>1156</v>
      </c>
      <c r="C73" s="70" t="s">
        <v>1157</v>
      </c>
      <c r="D73" s="72" t="s">
        <v>1158</v>
      </c>
      <c r="E73" s="71" t="s">
        <v>91</v>
      </c>
      <c r="F73" s="2" t="s">
        <v>39</v>
      </c>
      <c r="G73" s="25">
        <v>43374</v>
      </c>
      <c r="H73" s="23">
        <v>43374</v>
      </c>
      <c r="I73" s="104"/>
    </row>
    <row r="74" spans="1:9" ht="38.25" x14ac:dyDescent="0.2">
      <c r="A74" s="8">
        <v>43374</v>
      </c>
      <c r="B74" s="9" t="s">
        <v>1159</v>
      </c>
      <c r="C74" s="10" t="s">
        <v>1160</v>
      </c>
      <c r="D74" s="2" t="s">
        <v>1161</v>
      </c>
      <c r="E74" s="71" t="s">
        <v>677</v>
      </c>
      <c r="F74" s="2" t="s">
        <v>39</v>
      </c>
      <c r="G74" s="25">
        <v>43374</v>
      </c>
      <c r="H74" s="23">
        <v>43374</v>
      </c>
      <c r="I74" s="104"/>
    </row>
    <row r="75" spans="1:9" x14ac:dyDescent="0.2">
      <c r="A75" s="8">
        <v>43134</v>
      </c>
      <c r="B75" s="9" t="s">
        <v>1186</v>
      </c>
      <c r="C75" s="10" t="s">
        <v>1187</v>
      </c>
      <c r="D75" s="2" t="s">
        <v>1188</v>
      </c>
      <c r="E75" s="71" t="s">
        <v>53</v>
      </c>
      <c r="F75" s="2" t="s">
        <v>39</v>
      </c>
      <c r="G75" s="25">
        <v>43376</v>
      </c>
      <c r="H75" s="23">
        <v>43376</v>
      </c>
      <c r="I75" s="104"/>
    </row>
    <row r="76" spans="1:9" x14ac:dyDescent="0.2">
      <c r="A76" s="8">
        <v>43376</v>
      </c>
      <c r="B76" s="9" t="s">
        <v>1190</v>
      </c>
      <c r="C76" s="10" t="s">
        <v>55</v>
      </c>
      <c r="D76" s="2" t="s">
        <v>1191</v>
      </c>
      <c r="E76" s="71" t="s">
        <v>761</v>
      </c>
      <c r="F76" s="2" t="s">
        <v>172</v>
      </c>
      <c r="G76" s="25">
        <v>43376</v>
      </c>
      <c r="H76" s="23">
        <v>43376</v>
      </c>
      <c r="I76" s="104"/>
    </row>
    <row r="77" spans="1:9" ht="38.25" x14ac:dyDescent="0.2">
      <c r="A77" s="8">
        <v>43376</v>
      </c>
      <c r="B77" s="9" t="s">
        <v>1192</v>
      </c>
      <c r="C77" s="10" t="s">
        <v>1193</v>
      </c>
      <c r="D77" s="2" t="s">
        <v>1059</v>
      </c>
      <c r="E77" s="71" t="s">
        <v>91</v>
      </c>
      <c r="F77" s="2" t="s">
        <v>172</v>
      </c>
      <c r="G77" s="25">
        <v>43376</v>
      </c>
      <c r="H77" s="23">
        <v>43376</v>
      </c>
      <c r="I77" s="104"/>
    </row>
    <row r="78" spans="1:9" x14ac:dyDescent="0.2">
      <c r="A78" s="8"/>
      <c r="B78" s="9"/>
      <c r="C78" s="10"/>
      <c r="D78" s="2"/>
      <c r="E78" s="71"/>
      <c r="F78" s="2"/>
      <c r="G78" s="25"/>
      <c r="H78" s="23"/>
      <c r="I78" s="104"/>
    </row>
    <row r="79" spans="1:9" x14ac:dyDescent="0.2">
      <c r="A79" s="8"/>
      <c r="B79" s="9"/>
      <c r="C79" s="10"/>
      <c r="D79" s="2"/>
      <c r="E79" s="71"/>
      <c r="F79" s="2"/>
      <c r="G79" s="25"/>
      <c r="H79" s="23"/>
      <c r="I79" s="104"/>
    </row>
    <row r="80" spans="1:9" x14ac:dyDescent="0.2">
      <c r="A80" s="8"/>
      <c r="B80" s="9"/>
      <c r="C80" s="10"/>
      <c r="D80" s="2"/>
      <c r="E80" s="71"/>
      <c r="F80" s="2"/>
      <c r="G80" s="25"/>
      <c r="H80" s="23"/>
      <c r="I80" s="104"/>
    </row>
    <row r="81" spans="1:9" x14ac:dyDescent="0.2">
      <c r="A81" s="8"/>
      <c r="B81" s="9"/>
      <c r="C81" s="10"/>
      <c r="D81" s="2"/>
      <c r="E81" s="71"/>
      <c r="F81" s="2"/>
      <c r="G81" s="25"/>
      <c r="H81" s="23"/>
      <c r="I81" s="104"/>
    </row>
    <row r="82" spans="1:9" x14ac:dyDescent="0.2">
      <c r="A82" s="8"/>
      <c r="B82" s="9"/>
      <c r="C82" s="10"/>
      <c r="D82" s="2"/>
      <c r="E82" s="71"/>
      <c r="F82" s="2"/>
      <c r="G82" s="25"/>
      <c r="H82" s="23"/>
      <c r="I82" s="104"/>
    </row>
    <row r="83" spans="1:9" x14ac:dyDescent="0.2">
      <c r="A83" s="8"/>
      <c r="B83" s="9"/>
      <c r="C83" s="10"/>
      <c r="D83" s="2"/>
      <c r="E83" s="71"/>
      <c r="F83" s="2"/>
      <c r="G83" s="25"/>
      <c r="H83" s="23"/>
      <c r="I83" s="104"/>
    </row>
    <row r="84" spans="1:9" x14ac:dyDescent="0.2">
      <c r="A84" s="8"/>
      <c r="B84" s="9"/>
      <c r="C84" s="10"/>
      <c r="D84" s="2"/>
      <c r="E84" s="71"/>
      <c r="F84" s="2"/>
      <c r="G84" s="25"/>
      <c r="H84" s="23"/>
      <c r="I84" s="104"/>
    </row>
    <row r="85" spans="1:9" x14ac:dyDescent="0.2">
      <c r="A85" s="8"/>
      <c r="B85" s="9"/>
      <c r="C85" s="10"/>
      <c r="D85" s="2"/>
      <c r="E85" s="71"/>
      <c r="F85" s="2"/>
      <c r="G85" s="25"/>
      <c r="H85" s="23"/>
      <c r="I85" s="104"/>
    </row>
    <row r="86" spans="1:9" x14ac:dyDescent="0.2">
      <c r="A86" s="8"/>
      <c r="B86" s="9"/>
      <c r="C86" s="10"/>
      <c r="D86" s="2"/>
      <c r="E86" s="71"/>
      <c r="F86" s="2"/>
      <c r="G86" s="25"/>
      <c r="H86" s="23"/>
      <c r="I86" s="104"/>
    </row>
    <row r="87" spans="1:9" x14ac:dyDescent="0.2">
      <c r="A87" s="8"/>
      <c r="B87" s="9"/>
      <c r="C87" s="10"/>
      <c r="D87" s="2"/>
      <c r="E87" s="71"/>
      <c r="F87" s="2"/>
      <c r="G87" s="25"/>
      <c r="H87" s="23"/>
      <c r="I87" s="104"/>
    </row>
    <row r="88" spans="1:9" x14ac:dyDescent="0.2">
      <c r="A88" s="8"/>
      <c r="B88" s="9"/>
      <c r="C88" s="10"/>
      <c r="D88" s="2"/>
      <c r="E88" s="71"/>
      <c r="F88" s="2"/>
      <c r="G88" s="25"/>
      <c r="H88" s="23"/>
      <c r="I88" s="104"/>
    </row>
    <row r="89" spans="1:9" x14ac:dyDescent="0.2">
      <c r="A89" s="8"/>
      <c r="B89" s="9"/>
      <c r="C89" s="10"/>
      <c r="D89" s="2"/>
      <c r="E89" s="71"/>
      <c r="F89" s="2"/>
      <c r="G89" s="25"/>
      <c r="H89" s="23"/>
      <c r="I89" s="104"/>
    </row>
    <row r="90" spans="1:9" x14ac:dyDescent="0.2">
      <c r="A90" s="8"/>
      <c r="B90" s="9"/>
      <c r="C90" s="10"/>
      <c r="D90" s="2"/>
      <c r="E90" s="71"/>
      <c r="F90" s="2"/>
      <c r="G90" s="25"/>
      <c r="H90" s="23"/>
      <c r="I90" s="104"/>
    </row>
    <row r="91" spans="1:9" x14ac:dyDescent="0.2">
      <c r="A91" s="8"/>
      <c r="B91" s="9"/>
      <c r="C91" s="10"/>
      <c r="D91" s="2"/>
      <c r="E91" s="71"/>
      <c r="F91" s="2"/>
      <c r="G91" s="25"/>
      <c r="H91" s="23"/>
      <c r="I91" s="104"/>
    </row>
    <row r="92" spans="1:9" x14ac:dyDescent="0.2">
      <c r="A92" s="8"/>
      <c r="B92" s="9"/>
      <c r="C92" s="10"/>
      <c r="D92" s="2"/>
      <c r="E92" s="71"/>
      <c r="F92" s="2"/>
      <c r="G92" s="25"/>
      <c r="H92" s="23"/>
      <c r="I92" s="104"/>
    </row>
    <row r="93" spans="1:9" x14ac:dyDescent="0.2">
      <c r="A93" s="8"/>
      <c r="B93" s="9"/>
      <c r="C93" s="10"/>
      <c r="D93" s="2"/>
      <c r="E93" s="71"/>
      <c r="F93" s="2"/>
      <c r="G93" s="25"/>
      <c r="H93" s="23"/>
      <c r="I93" s="104"/>
    </row>
    <row r="94" spans="1:9" x14ac:dyDescent="0.2">
      <c r="A94" s="8"/>
      <c r="B94" s="9"/>
      <c r="C94" s="10"/>
      <c r="D94" s="2"/>
      <c r="E94" s="71"/>
      <c r="F94" s="2"/>
      <c r="G94" s="25"/>
      <c r="H94" s="23"/>
      <c r="I94" s="104"/>
    </row>
    <row r="95" spans="1:9" x14ac:dyDescent="0.2">
      <c r="A95" s="8"/>
      <c r="B95" s="9"/>
      <c r="C95" s="10"/>
      <c r="D95" s="2"/>
      <c r="E95" s="71"/>
      <c r="F95" s="2"/>
      <c r="G95" s="25"/>
      <c r="H95" s="23"/>
      <c r="I95" s="104"/>
    </row>
    <row r="96" spans="1:9" x14ac:dyDescent="0.2">
      <c r="A96" s="8"/>
      <c r="B96" s="9"/>
      <c r="C96" s="10"/>
      <c r="D96" s="2"/>
      <c r="E96" s="71"/>
      <c r="F96" s="2"/>
      <c r="G96" s="25"/>
      <c r="H96" s="23"/>
      <c r="I96" s="104"/>
    </row>
    <row r="97" spans="1:9" x14ac:dyDescent="0.2">
      <c r="A97" s="8"/>
      <c r="B97" s="9"/>
      <c r="C97" s="10"/>
      <c r="D97" s="2"/>
      <c r="E97" s="71"/>
      <c r="F97" s="2"/>
      <c r="G97" s="25"/>
      <c r="H97" s="23"/>
      <c r="I97" s="104"/>
    </row>
    <row r="98" spans="1:9" x14ac:dyDescent="0.2">
      <c r="A98" s="8"/>
      <c r="B98" s="9"/>
      <c r="C98" s="10"/>
      <c r="D98" s="2"/>
      <c r="E98" s="71"/>
      <c r="F98" s="2"/>
      <c r="G98" s="25"/>
      <c r="H98" s="23"/>
      <c r="I98" s="104"/>
    </row>
    <row r="99" spans="1:9" x14ac:dyDescent="0.2">
      <c r="A99" s="8"/>
      <c r="B99" s="9"/>
      <c r="C99" s="10"/>
      <c r="D99" s="2"/>
      <c r="E99" s="71"/>
      <c r="F99" s="2"/>
      <c r="G99" s="25"/>
      <c r="H99" s="23"/>
      <c r="I99" s="104"/>
    </row>
    <row r="100" spans="1:9" x14ac:dyDescent="0.2">
      <c r="A100" s="8"/>
      <c r="B100" s="9"/>
      <c r="C100" s="10"/>
      <c r="D100" s="2"/>
      <c r="E100" s="71"/>
      <c r="F100" s="2"/>
      <c r="G100" s="25"/>
      <c r="H100" s="23"/>
      <c r="I100" s="104"/>
    </row>
    <row r="101" spans="1:9" x14ac:dyDescent="0.2">
      <c r="A101" s="8"/>
      <c r="B101" s="9"/>
      <c r="C101" s="10"/>
      <c r="D101" s="2"/>
      <c r="E101" s="71"/>
      <c r="F101" s="2"/>
      <c r="G101" s="25"/>
      <c r="H101" s="23"/>
      <c r="I101" s="104"/>
    </row>
    <row r="102" spans="1:9" x14ac:dyDescent="0.2">
      <c r="A102" s="8"/>
      <c r="B102" s="9"/>
      <c r="C102" s="10"/>
      <c r="D102" s="2"/>
      <c r="E102" s="71"/>
      <c r="F102" s="2"/>
      <c r="G102" s="25"/>
      <c r="H102" s="23"/>
      <c r="I102" s="104"/>
    </row>
    <row r="103" spans="1:9" x14ac:dyDescent="0.2">
      <c r="A103" s="8"/>
      <c r="B103" s="9"/>
      <c r="C103" s="10"/>
      <c r="D103" s="2"/>
      <c r="E103" s="71"/>
      <c r="F103" s="2"/>
      <c r="G103" s="25"/>
      <c r="H103" s="23"/>
      <c r="I103" s="104"/>
    </row>
    <row r="104" spans="1:9" x14ac:dyDescent="0.2">
      <c r="A104" s="8"/>
      <c r="B104" s="9"/>
      <c r="C104" s="10"/>
      <c r="D104" s="2"/>
      <c r="E104" s="71"/>
      <c r="F104" s="2"/>
      <c r="G104" s="25"/>
      <c r="H104" s="23"/>
      <c r="I104" s="104"/>
    </row>
    <row r="105" spans="1:9" x14ac:dyDescent="0.2">
      <c r="A105" s="8"/>
      <c r="B105" s="9"/>
      <c r="C105" s="10"/>
      <c r="D105" s="2"/>
      <c r="E105" s="71"/>
      <c r="F105" s="2"/>
      <c r="G105" s="25"/>
      <c r="H105" s="23"/>
      <c r="I105" s="104"/>
    </row>
    <row r="106" spans="1:9" x14ac:dyDescent="0.2">
      <c r="A106" s="8"/>
      <c r="B106" s="9"/>
      <c r="C106" s="10"/>
      <c r="D106" s="2"/>
      <c r="E106" s="71"/>
      <c r="F106" s="2"/>
      <c r="G106" s="25"/>
      <c r="H106" s="23"/>
      <c r="I106" s="104"/>
    </row>
    <row r="107" spans="1:9" x14ac:dyDescent="0.2">
      <c r="A107" s="8"/>
      <c r="B107" s="9"/>
      <c r="C107" s="10"/>
      <c r="D107" s="2"/>
      <c r="E107" s="71"/>
      <c r="F107" s="2"/>
      <c r="G107" s="25"/>
      <c r="H107" s="23"/>
      <c r="I107" s="104"/>
    </row>
    <row r="108" spans="1:9" x14ac:dyDescent="0.2">
      <c r="A108" s="8"/>
      <c r="B108" s="9"/>
      <c r="C108" s="10"/>
      <c r="D108" s="2"/>
      <c r="E108" s="71"/>
      <c r="F108" s="2"/>
      <c r="G108" s="25"/>
      <c r="H108" s="23"/>
      <c r="I108" s="104"/>
    </row>
    <row r="109" spans="1:9" x14ac:dyDescent="0.2">
      <c r="A109" s="8"/>
      <c r="B109" s="9"/>
      <c r="C109" s="10"/>
      <c r="D109" s="2"/>
      <c r="E109" s="71"/>
      <c r="F109" s="2"/>
      <c r="G109" s="25"/>
      <c r="H109" s="23"/>
      <c r="I109" s="104"/>
    </row>
    <row r="110" spans="1:9" x14ac:dyDescent="0.2">
      <c r="A110" s="8"/>
      <c r="B110" s="9"/>
      <c r="C110" s="10"/>
      <c r="D110" s="2"/>
      <c r="E110" s="71"/>
      <c r="F110" s="2"/>
      <c r="G110" s="25"/>
      <c r="H110" s="23"/>
      <c r="I110" s="104"/>
    </row>
    <row r="111" spans="1:9" x14ac:dyDescent="0.2">
      <c r="A111" s="8"/>
      <c r="B111" s="9"/>
      <c r="C111" s="10"/>
      <c r="D111" s="2"/>
      <c r="E111" s="71"/>
      <c r="F111" s="2"/>
      <c r="G111" s="25"/>
      <c r="H111" s="23"/>
      <c r="I111" s="104"/>
    </row>
    <row r="112" spans="1:9" x14ac:dyDescent="0.2">
      <c r="A112" s="8"/>
      <c r="B112" s="9"/>
      <c r="C112" s="10"/>
      <c r="D112" s="2"/>
      <c r="E112" s="71"/>
      <c r="F112" s="2"/>
      <c r="G112" s="25"/>
      <c r="H112" s="23"/>
      <c r="I112" s="104"/>
    </row>
    <row r="113" spans="1:9" x14ac:dyDescent="0.2">
      <c r="A113" s="8"/>
      <c r="B113" s="9"/>
      <c r="C113" s="10"/>
      <c r="D113" s="2"/>
      <c r="E113" s="71"/>
      <c r="F113" s="2"/>
      <c r="G113" s="25"/>
      <c r="H113" s="23"/>
      <c r="I113" s="104"/>
    </row>
    <row r="114" spans="1:9" x14ac:dyDescent="0.2">
      <c r="A114" s="8"/>
      <c r="B114" s="9"/>
      <c r="C114" s="10"/>
      <c r="D114" s="2"/>
      <c r="E114" s="71"/>
      <c r="F114" s="2"/>
      <c r="G114" s="25"/>
      <c r="H114" s="23"/>
      <c r="I114" s="104"/>
    </row>
    <row r="115" spans="1:9" x14ac:dyDescent="0.2">
      <c r="A115" s="8"/>
      <c r="B115" s="9"/>
      <c r="C115" s="10"/>
      <c r="D115" s="2"/>
      <c r="E115" s="71"/>
      <c r="F115" s="2"/>
      <c r="G115" s="25"/>
      <c r="H115" s="23"/>
      <c r="I115" s="104"/>
    </row>
    <row r="116" spans="1:9" x14ac:dyDescent="0.2">
      <c r="A116" s="8"/>
      <c r="B116" s="9"/>
      <c r="C116" s="10"/>
      <c r="D116" s="2"/>
      <c r="E116" s="71"/>
      <c r="F116" s="2"/>
      <c r="G116" s="25"/>
      <c r="H116" s="23"/>
      <c r="I116" s="104"/>
    </row>
    <row r="117" spans="1:9" x14ac:dyDescent="0.2">
      <c r="A117" s="8"/>
      <c r="B117" s="9"/>
      <c r="C117" s="10"/>
      <c r="D117" s="2"/>
      <c r="E117" s="71"/>
      <c r="F117" s="2"/>
      <c r="G117" s="25"/>
      <c r="H117" s="23"/>
      <c r="I117" s="104"/>
    </row>
    <row r="118" spans="1:9" x14ac:dyDescent="0.2">
      <c r="A118" s="8"/>
      <c r="B118" s="9"/>
      <c r="C118" s="10"/>
      <c r="D118" s="2"/>
      <c r="E118" s="71"/>
      <c r="F118" s="2"/>
      <c r="G118" s="25"/>
      <c r="H118" s="23"/>
      <c r="I118" s="104"/>
    </row>
    <row r="119" spans="1:9" x14ac:dyDescent="0.2">
      <c r="A119" s="8"/>
      <c r="B119" s="9"/>
      <c r="C119" s="10"/>
      <c r="D119" s="2"/>
      <c r="E119" s="71"/>
      <c r="F119" s="2"/>
      <c r="G119" s="25"/>
      <c r="H119" s="23"/>
      <c r="I119" s="104"/>
    </row>
    <row r="120" spans="1:9" x14ac:dyDescent="0.2">
      <c r="A120" s="8"/>
      <c r="B120" s="9"/>
      <c r="C120" s="10"/>
      <c r="D120" s="2"/>
      <c r="E120" s="71"/>
      <c r="F120" s="2"/>
      <c r="G120" s="25"/>
      <c r="H120" s="23"/>
      <c r="I120" s="104"/>
    </row>
    <row r="121" spans="1:9" x14ac:dyDescent="0.2">
      <c r="A121" s="8"/>
      <c r="B121" s="9"/>
      <c r="C121" s="10"/>
      <c r="D121" s="2"/>
      <c r="E121" s="71"/>
      <c r="F121" s="2"/>
      <c r="G121" s="25"/>
      <c r="H121" s="23"/>
      <c r="I121" s="104"/>
    </row>
    <row r="122" spans="1:9" x14ac:dyDescent="0.2">
      <c r="A122" s="8"/>
      <c r="B122" s="9"/>
      <c r="C122" s="10"/>
      <c r="D122" s="2"/>
      <c r="E122" s="71"/>
      <c r="F122" s="2"/>
      <c r="G122" s="25"/>
      <c r="H122" s="23"/>
      <c r="I122" s="104"/>
    </row>
    <row r="123" spans="1:9" x14ac:dyDescent="0.2">
      <c r="A123" s="8"/>
      <c r="B123" s="9"/>
      <c r="C123" s="10"/>
      <c r="D123" s="2"/>
      <c r="E123" s="71"/>
      <c r="F123" s="2"/>
      <c r="G123" s="25"/>
      <c r="H123" s="23"/>
      <c r="I123" s="104"/>
    </row>
    <row r="124" spans="1:9" x14ac:dyDescent="0.2">
      <c r="A124" s="8"/>
      <c r="B124" s="9"/>
      <c r="C124" s="10"/>
      <c r="D124" s="2"/>
      <c r="E124" s="71"/>
      <c r="F124" s="2"/>
      <c r="G124" s="25"/>
      <c r="H124" s="23"/>
      <c r="I124" s="104"/>
    </row>
    <row r="125" spans="1:9" x14ac:dyDescent="0.2">
      <c r="A125" s="8"/>
      <c r="B125" s="9"/>
      <c r="C125" s="10"/>
      <c r="D125" s="2"/>
      <c r="E125" s="71"/>
      <c r="F125" s="2"/>
      <c r="G125" s="25"/>
      <c r="H125" s="23"/>
      <c r="I125" s="104"/>
    </row>
    <row r="126" spans="1:9" x14ac:dyDescent="0.2">
      <c r="A126" s="8"/>
      <c r="B126" s="9"/>
      <c r="C126" s="10"/>
      <c r="D126" s="2"/>
      <c r="E126" s="71"/>
      <c r="F126" s="2"/>
      <c r="G126" s="25"/>
      <c r="H126" s="23"/>
      <c r="I126" s="104"/>
    </row>
    <row r="127" spans="1:9" x14ac:dyDescent="0.2">
      <c r="A127" s="8"/>
      <c r="B127" s="9"/>
      <c r="C127" s="10"/>
      <c r="D127" s="2"/>
      <c r="E127" s="71"/>
      <c r="F127" s="2"/>
      <c r="G127" s="25"/>
      <c r="H127" s="23"/>
      <c r="I127" s="104"/>
    </row>
    <row r="128" spans="1:9" x14ac:dyDescent="0.2">
      <c r="A128" s="8"/>
      <c r="B128" s="9"/>
      <c r="C128" s="10"/>
      <c r="D128" s="2"/>
      <c r="E128" s="71"/>
      <c r="F128" s="2"/>
      <c r="G128" s="25"/>
      <c r="H128" s="23"/>
      <c r="I128" s="104"/>
    </row>
    <row r="129" spans="1:9" x14ac:dyDescent="0.2">
      <c r="A129" s="8"/>
      <c r="B129" s="9"/>
      <c r="C129" s="10"/>
      <c r="D129" s="2"/>
      <c r="E129" s="71"/>
      <c r="F129" s="2"/>
      <c r="G129" s="25"/>
      <c r="H129" s="23"/>
      <c r="I129" s="104"/>
    </row>
    <row r="130" spans="1:9" x14ac:dyDescent="0.2">
      <c r="A130" s="8"/>
      <c r="B130" s="9"/>
      <c r="C130" s="10"/>
      <c r="D130" s="2"/>
      <c r="E130" s="71"/>
      <c r="F130" s="2"/>
      <c r="G130" s="25"/>
      <c r="H130" s="23"/>
      <c r="I130" s="104"/>
    </row>
    <row r="131" spans="1:9" x14ac:dyDescent="0.2">
      <c r="A131" s="8"/>
      <c r="B131" s="9"/>
      <c r="C131" s="10"/>
      <c r="D131" s="2"/>
      <c r="E131" s="71"/>
      <c r="F131" s="2"/>
      <c r="G131" s="25"/>
      <c r="H131" s="23"/>
      <c r="I131" s="104"/>
    </row>
    <row r="132" spans="1:9" x14ac:dyDescent="0.2">
      <c r="A132" s="8"/>
      <c r="B132" s="9"/>
      <c r="C132" s="10"/>
      <c r="D132" s="2"/>
      <c r="E132" s="71"/>
      <c r="F132" s="2"/>
      <c r="G132" s="25"/>
      <c r="H132" s="23"/>
      <c r="I132" s="104"/>
    </row>
    <row r="133" spans="1:9" x14ac:dyDescent="0.2">
      <c r="A133" s="8"/>
      <c r="B133" s="9"/>
      <c r="C133" s="10"/>
      <c r="D133" s="2"/>
      <c r="E133" s="71"/>
      <c r="F133" s="2"/>
      <c r="G133" s="25"/>
      <c r="H133" s="23"/>
      <c r="I133" s="104"/>
    </row>
    <row r="134" spans="1:9" x14ac:dyDescent="0.2">
      <c r="A134" s="8"/>
      <c r="B134" s="9"/>
      <c r="C134" s="10"/>
      <c r="D134" s="2"/>
      <c r="E134" s="71"/>
      <c r="F134" s="2"/>
      <c r="G134" s="25"/>
      <c r="H134" s="23"/>
      <c r="I134" s="104"/>
    </row>
    <row r="135" spans="1:9" x14ac:dyDescent="0.2">
      <c r="A135" s="8"/>
      <c r="B135" s="9"/>
      <c r="C135" s="10"/>
      <c r="D135" s="2"/>
      <c r="E135" s="71"/>
      <c r="F135" s="2"/>
      <c r="G135" s="25"/>
      <c r="H135" s="23"/>
      <c r="I135" s="104"/>
    </row>
    <row r="136" spans="1:9" x14ac:dyDescent="0.2">
      <c r="A136" s="8"/>
      <c r="B136" s="9"/>
      <c r="C136" s="10"/>
      <c r="D136" s="2"/>
      <c r="E136" s="71"/>
      <c r="F136" s="2"/>
      <c r="G136" s="25"/>
      <c r="H136" s="23"/>
      <c r="I136" s="104"/>
    </row>
    <row r="137" spans="1:9" x14ac:dyDescent="0.2">
      <c r="A137" s="8"/>
      <c r="B137" s="9"/>
      <c r="C137" s="10"/>
      <c r="D137" s="2"/>
      <c r="E137" s="71"/>
      <c r="F137" s="2"/>
      <c r="G137" s="25"/>
      <c r="H137" s="23"/>
      <c r="I137" s="104"/>
    </row>
    <row r="138" spans="1:9" x14ac:dyDescent="0.2">
      <c r="A138" s="8"/>
      <c r="B138" s="9"/>
      <c r="C138" s="10"/>
      <c r="D138" s="2"/>
      <c r="E138" s="71"/>
      <c r="F138" s="2"/>
      <c r="G138" s="25"/>
      <c r="H138" s="23"/>
      <c r="I138" s="104"/>
    </row>
    <row r="139" spans="1:9" x14ac:dyDescent="0.2">
      <c r="A139" s="8"/>
      <c r="B139" s="9"/>
      <c r="C139" s="10"/>
      <c r="D139" s="2"/>
      <c r="E139" s="71"/>
      <c r="F139" s="2"/>
      <c r="G139" s="25"/>
      <c r="H139" s="23"/>
      <c r="I139" s="104"/>
    </row>
    <row r="140" spans="1:9" x14ac:dyDescent="0.2">
      <c r="A140" s="8"/>
      <c r="B140" s="9"/>
      <c r="C140" s="10"/>
      <c r="D140" s="2"/>
      <c r="E140" s="71"/>
      <c r="F140" s="2"/>
      <c r="G140" s="25"/>
      <c r="H140" s="23"/>
      <c r="I140" s="104"/>
    </row>
    <row r="141" spans="1:9" x14ac:dyDescent="0.2">
      <c r="A141" s="8"/>
      <c r="B141" s="9"/>
      <c r="C141" s="10"/>
      <c r="D141" s="2"/>
      <c r="E141" s="71"/>
      <c r="F141" s="2"/>
      <c r="G141" s="25"/>
      <c r="H141" s="23"/>
      <c r="I141" s="104"/>
    </row>
    <row r="142" spans="1:9" x14ac:dyDescent="0.2">
      <c r="A142" s="8"/>
      <c r="B142" s="9"/>
      <c r="C142" s="10"/>
      <c r="D142" s="2"/>
      <c r="E142" s="71"/>
      <c r="F142" s="2"/>
      <c r="G142" s="25"/>
      <c r="H142" s="23"/>
      <c r="I142" s="104"/>
    </row>
    <row r="143" spans="1:9" x14ac:dyDescent="0.2">
      <c r="A143" s="8"/>
      <c r="B143" s="9"/>
      <c r="C143" s="10"/>
      <c r="D143" s="2"/>
      <c r="E143" s="71"/>
      <c r="F143" s="2"/>
      <c r="G143" s="25"/>
      <c r="H143" s="23"/>
      <c r="I143" s="104"/>
    </row>
    <row r="144" spans="1:9" x14ac:dyDescent="0.2">
      <c r="A144" s="8"/>
      <c r="B144" s="9"/>
      <c r="C144" s="10"/>
      <c r="D144" s="2"/>
      <c r="E144" s="71"/>
      <c r="F144" s="2"/>
      <c r="G144" s="25"/>
      <c r="H144" s="23"/>
      <c r="I144" s="104"/>
    </row>
    <row r="145" spans="1:9" x14ac:dyDescent="0.2">
      <c r="A145" s="8"/>
      <c r="B145" s="9"/>
      <c r="C145" s="10"/>
      <c r="D145" s="2"/>
      <c r="E145" s="71"/>
      <c r="F145" s="2"/>
      <c r="G145" s="25"/>
      <c r="H145" s="23"/>
      <c r="I145" s="104"/>
    </row>
    <row r="146" spans="1:9" x14ac:dyDescent="0.2">
      <c r="A146" s="8"/>
      <c r="B146" s="9"/>
      <c r="C146" s="10"/>
      <c r="D146" s="2"/>
      <c r="E146" s="71"/>
      <c r="F146" s="2"/>
      <c r="G146" s="25"/>
      <c r="H146" s="23"/>
      <c r="I146" s="104"/>
    </row>
    <row r="147" spans="1:9" x14ac:dyDescent="0.2">
      <c r="A147" s="8"/>
      <c r="B147" s="9"/>
      <c r="C147" s="10"/>
      <c r="D147" s="2"/>
      <c r="E147" s="71"/>
      <c r="F147" s="2"/>
      <c r="G147" s="25"/>
      <c r="H147" s="23"/>
      <c r="I147" s="104"/>
    </row>
    <row r="148" spans="1:9" x14ac:dyDescent="0.2">
      <c r="A148" s="8"/>
      <c r="B148" s="9"/>
      <c r="C148" s="10"/>
      <c r="D148" s="2"/>
      <c r="E148" s="71"/>
      <c r="F148" s="2"/>
      <c r="G148" s="25"/>
      <c r="H148" s="23"/>
      <c r="I148" s="104"/>
    </row>
    <row r="149" spans="1:9" x14ac:dyDescent="0.2">
      <c r="A149" s="8"/>
      <c r="B149" s="9"/>
      <c r="C149" s="10"/>
      <c r="D149" s="2"/>
      <c r="E149" s="71"/>
      <c r="F149" s="2"/>
      <c r="G149" s="25"/>
      <c r="H149" s="23"/>
      <c r="I149" s="104"/>
    </row>
    <row r="150" spans="1:9" x14ac:dyDescent="0.2">
      <c r="A150" s="8"/>
      <c r="B150" s="9"/>
      <c r="C150" s="10"/>
      <c r="D150" s="2"/>
      <c r="E150" s="71"/>
      <c r="F150" s="2"/>
      <c r="G150" s="25"/>
      <c r="H150" s="23"/>
      <c r="I150" s="104"/>
    </row>
    <row r="151" spans="1:9" x14ac:dyDescent="0.2">
      <c r="A151" s="8"/>
      <c r="B151" s="9"/>
      <c r="C151" s="10"/>
      <c r="D151" s="2"/>
      <c r="E151" s="71"/>
      <c r="F151" s="2"/>
      <c r="G151" s="25"/>
      <c r="H151" s="23"/>
      <c r="I151" s="104"/>
    </row>
    <row r="152" spans="1:9" x14ac:dyDescent="0.2">
      <c r="A152" s="8"/>
      <c r="B152" s="9"/>
      <c r="C152" s="10"/>
      <c r="D152" s="2"/>
      <c r="E152" s="71"/>
      <c r="F152" s="2"/>
      <c r="G152" s="25"/>
      <c r="H152" s="23"/>
      <c r="I152" s="104"/>
    </row>
    <row r="153" spans="1:9" x14ac:dyDescent="0.2">
      <c r="A153" s="8"/>
      <c r="B153" s="9"/>
      <c r="C153" s="10"/>
      <c r="D153" s="2"/>
      <c r="E153" s="71"/>
      <c r="F153" s="2"/>
      <c r="G153" s="25"/>
      <c r="H153" s="23"/>
      <c r="I153" s="104"/>
    </row>
    <row r="154" spans="1:9" x14ac:dyDescent="0.2">
      <c r="A154" s="8"/>
      <c r="B154" s="9"/>
      <c r="C154" s="10"/>
      <c r="D154" s="2"/>
      <c r="E154" s="71"/>
      <c r="F154" s="2"/>
      <c r="G154" s="25"/>
      <c r="H154" s="23"/>
      <c r="I154" s="104"/>
    </row>
    <row r="155" spans="1:9" x14ac:dyDescent="0.2">
      <c r="A155" s="8"/>
      <c r="B155" s="9"/>
      <c r="C155" s="10"/>
      <c r="D155" s="2"/>
      <c r="E155" s="71"/>
      <c r="F155" s="2"/>
      <c r="G155" s="25"/>
      <c r="H155" s="23"/>
      <c r="I155" s="104"/>
    </row>
    <row r="156" spans="1:9" x14ac:dyDescent="0.2">
      <c r="A156" s="8"/>
      <c r="B156" s="9"/>
      <c r="C156" s="10"/>
      <c r="D156" s="2"/>
      <c r="E156" s="71"/>
      <c r="F156" s="2"/>
      <c r="G156" s="25"/>
      <c r="H156" s="23"/>
      <c r="I156" s="104"/>
    </row>
    <row r="157" spans="1:9" x14ac:dyDescent="0.2">
      <c r="A157" s="8"/>
      <c r="B157" s="9"/>
      <c r="C157" s="10"/>
      <c r="D157" s="2"/>
      <c r="E157" s="71"/>
      <c r="F157" s="2"/>
      <c r="G157" s="25"/>
      <c r="H157" s="23"/>
      <c r="I157" s="104"/>
    </row>
    <row r="158" spans="1:9" x14ac:dyDescent="0.2">
      <c r="A158" s="8"/>
      <c r="B158" s="9"/>
      <c r="C158" s="10"/>
      <c r="D158" s="2"/>
      <c r="E158" s="71"/>
      <c r="F158" s="2"/>
      <c r="G158" s="25"/>
      <c r="H158" s="23"/>
      <c r="I158" s="104"/>
    </row>
    <row r="159" spans="1:9" x14ac:dyDescent="0.2">
      <c r="A159" s="8"/>
      <c r="B159" s="9"/>
      <c r="C159" s="10"/>
      <c r="D159" s="2"/>
      <c r="E159" s="71"/>
      <c r="F159" s="2"/>
      <c r="G159" s="25"/>
      <c r="H159" s="23"/>
      <c r="I159" s="104"/>
    </row>
    <row r="160" spans="1:9" x14ac:dyDescent="0.2">
      <c r="A160" s="8"/>
      <c r="B160" s="9"/>
      <c r="C160" s="10"/>
      <c r="D160" s="2"/>
      <c r="E160" s="71"/>
      <c r="F160" s="2"/>
      <c r="G160" s="25"/>
      <c r="H160" s="23"/>
      <c r="I160" s="104"/>
    </row>
    <row r="161" spans="1:9" x14ac:dyDescent="0.2">
      <c r="A161" s="8"/>
      <c r="B161" s="9"/>
      <c r="C161" s="10"/>
      <c r="D161" s="2"/>
      <c r="E161" s="71"/>
      <c r="F161" s="2"/>
      <c r="G161" s="25"/>
      <c r="H161" s="23"/>
      <c r="I161" s="104"/>
    </row>
    <row r="162" spans="1:9" x14ac:dyDescent="0.2">
      <c r="A162" s="8"/>
      <c r="B162" s="9"/>
      <c r="C162" s="10"/>
      <c r="D162" s="2"/>
      <c r="E162" s="71"/>
      <c r="F162" s="2"/>
      <c r="G162" s="25"/>
      <c r="H162" s="23"/>
      <c r="I162" s="104"/>
    </row>
    <row r="163" spans="1:9" x14ac:dyDescent="0.2">
      <c r="A163" s="8"/>
      <c r="B163" s="9"/>
      <c r="C163" s="10"/>
      <c r="D163" s="2"/>
      <c r="E163" s="71"/>
      <c r="F163" s="2"/>
      <c r="G163" s="25"/>
      <c r="H163" s="23"/>
      <c r="I163" s="104"/>
    </row>
    <row r="164" spans="1:9" x14ac:dyDescent="0.2">
      <c r="A164" s="8"/>
      <c r="B164" s="9"/>
      <c r="C164" s="10"/>
      <c r="D164" s="2"/>
      <c r="E164" s="71"/>
      <c r="F164" s="2"/>
      <c r="G164" s="25"/>
      <c r="H164" s="23"/>
      <c r="I164" s="104"/>
    </row>
    <row r="165" spans="1:9" x14ac:dyDescent="0.2">
      <c r="A165" s="8"/>
      <c r="B165" s="9"/>
      <c r="C165" s="10"/>
      <c r="D165" s="2"/>
      <c r="E165" s="71"/>
      <c r="F165" s="2"/>
      <c r="G165" s="25"/>
      <c r="H165" s="23"/>
      <c r="I165" s="104"/>
    </row>
    <row r="166" spans="1:9" x14ac:dyDescent="0.2">
      <c r="A166" s="8"/>
      <c r="B166" s="9"/>
      <c r="C166" s="10"/>
      <c r="D166" s="2"/>
      <c r="E166" s="71"/>
      <c r="F166" s="2"/>
      <c r="G166" s="25"/>
      <c r="H166" s="23"/>
      <c r="I166" s="104"/>
    </row>
    <row r="167" spans="1:9" x14ac:dyDescent="0.2">
      <c r="A167" s="8"/>
      <c r="B167" s="9"/>
      <c r="C167" s="10"/>
      <c r="D167" s="2"/>
      <c r="E167" s="71"/>
      <c r="F167" s="2"/>
      <c r="G167" s="25"/>
      <c r="H167" s="23"/>
      <c r="I167" s="104"/>
    </row>
    <row r="168" spans="1:9" x14ac:dyDescent="0.2">
      <c r="A168" s="8"/>
      <c r="B168" s="9"/>
      <c r="C168" s="10"/>
      <c r="D168" s="2"/>
      <c r="E168" s="71"/>
      <c r="F168" s="2"/>
      <c r="G168" s="25"/>
      <c r="H168" s="23"/>
      <c r="I168" s="104"/>
    </row>
    <row r="169" spans="1:9" x14ac:dyDescent="0.2">
      <c r="A169" s="8"/>
      <c r="B169" s="9"/>
      <c r="C169" s="10"/>
      <c r="D169" s="2"/>
      <c r="E169" s="71"/>
      <c r="F169" s="2"/>
      <c r="G169" s="25"/>
      <c r="H169" s="23"/>
      <c r="I169" s="104"/>
    </row>
    <row r="170" spans="1:9" x14ac:dyDescent="0.2">
      <c r="A170" s="8"/>
      <c r="B170" s="9"/>
      <c r="C170" s="10"/>
      <c r="D170" s="2"/>
      <c r="E170" s="71"/>
      <c r="F170" s="2"/>
      <c r="G170" s="25"/>
      <c r="H170" s="23"/>
      <c r="I170" s="104"/>
    </row>
    <row r="171" spans="1:9" x14ac:dyDescent="0.2">
      <c r="A171" s="8"/>
      <c r="B171" s="9"/>
      <c r="C171" s="10"/>
      <c r="D171" s="2"/>
      <c r="E171" s="71"/>
      <c r="F171" s="2"/>
      <c r="G171" s="25"/>
      <c r="H171" s="23"/>
      <c r="I171" s="104"/>
    </row>
    <row r="172" spans="1:9" x14ac:dyDescent="0.2">
      <c r="A172" s="8"/>
      <c r="B172" s="9"/>
      <c r="C172" s="10"/>
      <c r="D172" s="2"/>
      <c r="E172" s="71"/>
      <c r="F172" s="2"/>
      <c r="G172" s="25"/>
      <c r="H172" s="23"/>
      <c r="I172" s="104"/>
    </row>
    <row r="173" spans="1:9" x14ac:dyDescent="0.2">
      <c r="A173" s="8"/>
      <c r="B173" s="9"/>
      <c r="C173" s="10"/>
      <c r="D173" s="2"/>
      <c r="E173" s="71"/>
      <c r="F173" s="2"/>
      <c r="G173" s="25"/>
      <c r="H173" s="23"/>
      <c r="I173" s="104"/>
    </row>
    <row r="174" spans="1:9" x14ac:dyDescent="0.2">
      <c r="A174" s="8"/>
      <c r="B174" s="9"/>
      <c r="C174" s="10"/>
      <c r="D174" s="2"/>
      <c r="E174" s="71"/>
      <c r="F174" s="2"/>
      <c r="G174" s="25"/>
      <c r="H174" s="23"/>
      <c r="I174" s="104"/>
    </row>
    <row r="175" spans="1:9" x14ac:dyDescent="0.2">
      <c r="A175" s="8"/>
      <c r="B175" s="9"/>
      <c r="C175" s="10"/>
      <c r="D175" s="2"/>
      <c r="E175" s="71"/>
      <c r="F175" s="2"/>
      <c r="G175" s="25"/>
      <c r="H175" s="23"/>
      <c r="I175" s="104"/>
    </row>
    <row r="176" spans="1:9" x14ac:dyDescent="0.2">
      <c r="A176" s="8"/>
      <c r="B176" s="9"/>
      <c r="C176" s="10"/>
      <c r="D176" s="2"/>
      <c r="E176" s="71"/>
      <c r="F176" s="2"/>
      <c r="G176" s="25"/>
      <c r="H176" s="23"/>
      <c r="I176" s="104"/>
    </row>
    <row r="177" spans="1:9" x14ac:dyDescent="0.2">
      <c r="A177" s="8"/>
      <c r="B177" s="9"/>
      <c r="C177" s="10"/>
      <c r="D177" s="2"/>
      <c r="E177" s="71"/>
      <c r="F177" s="2"/>
      <c r="G177" s="25"/>
      <c r="H177" s="23"/>
      <c r="I177" s="104"/>
    </row>
    <row r="178" spans="1:9" x14ac:dyDescent="0.2">
      <c r="A178" s="8"/>
      <c r="B178" s="9"/>
      <c r="C178" s="10"/>
      <c r="D178" s="2"/>
      <c r="E178" s="71"/>
      <c r="F178" s="2"/>
      <c r="G178" s="25"/>
      <c r="H178" s="23"/>
      <c r="I178" s="104"/>
    </row>
    <row r="179" spans="1:9" x14ac:dyDescent="0.2">
      <c r="A179" s="8"/>
      <c r="B179" s="9"/>
      <c r="C179" s="10"/>
      <c r="D179" s="2"/>
      <c r="E179" s="71"/>
      <c r="F179" s="2"/>
      <c r="G179" s="25"/>
      <c r="H179" s="23"/>
      <c r="I179" s="104"/>
    </row>
    <row r="180" spans="1:9" x14ac:dyDescent="0.2">
      <c r="A180" s="8"/>
      <c r="B180" s="9"/>
      <c r="C180" s="10"/>
      <c r="D180" s="2"/>
      <c r="E180" s="71"/>
      <c r="F180" s="2"/>
      <c r="G180" s="25"/>
      <c r="H180" s="23"/>
      <c r="I180" s="104"/>
    </row>
    <row r="181" spans="1:9" x14ac:dyDescent="0.2">
      <c r="A181" s="8"/>
      <c r="B181" s="9"/>
      <c r="C181" s="10"/>
      <c r="D181" s="2"/>
      <c r="E181" s="71"/>
      <c r="F181" s="2"/>
      <c r="G181" s="25"/>
      <c r="H181" s="23"/>
      <c r="I181" s="104"/>
    </row>
    <row r="182" spans="1:9" x14ac:dyDescent="0.2">
      <c r="A182" s="8"/>
      <c r="B182" s="9"/>
      <c r="C182" s="10"/>
      <c r="D182" s="2"/>
      <c r="E182" s="71"/>
      <c r="F182" s="2"/>
      <c r="G182" s="25"/>
      <c r="H182" s="23"/>
      <c r="I182" s="104"/>
    </row>
    <row r="183" spans="1:9" x14ac:dyDescent="0.2">
      <c r="A183" s="8"/>
      <c r="B183" s="9"/>
      <c r="C183" s="10"/>
      <c r="D183" s="2"/>
      <c r="E183" s="71"/>
      <c r="F183" s="2"/>
      <c r="G183" s="25"/>
      <c r="H183" s="23"/>
      <c r="I183" s="104"/>
    </row>
    <row r="184" spans="1:9" x14ac:dyDescent="0.2">
      <c r="A184" s="8"/>
      <c r="B184" s="9"/>
      <c r="C184" s="10"/>
      <c r="D184" s="2"/>
      <c r="E184" s="71"/>
      <c r="F184" s="2"/>
      <c r="G184" s="25"/>
      <c r="H184" s="23"/>
      <c r="I184" s="104"/>
    </row>
    <row r="185" spans="1:9" x14ac:dyDescent="0.2">
      <c r="A185" s="8"/>
      <c r="B185" s="9"/>
      <c r="C185" s="10"/>
      <c r="D185" s="2"/>
      <c r="E185" s="71"/>
      <c r="F185" s="2"/>
      <c r="G185" s="25"/>
      <c r="H185" s="23"/>
      <c r="I185" s="104"/>
    </row>
    <row r="186" spans="1:9" x14ac:dyDescent="0.2">
      <c r="A186" s="8"/>
      <c r="B186" s="9"/>
      <c r="C186" s="10"/>
      <c r="D186" s="2"/>
      <c r="E186" s="71"/>
      <c r="F186" s="2"/>
      <c r="G186" s="25"/>
      <c r="H186" s="23"/>
      <c r="I186" s="104"/>
    </row>
    <row r="187" spans="1:9" x14ac:dyDescent="0.2">
      <c r="A187" s="8"/>
      <c r="B187" s="9"/>
      <c r="C187" s="10"/>
      <c r="D187" s="2"/>
      <c r="E187" s="71"/>
      <c r="F187" s="2"/>
      <c r="G187" s="25"/>
      <c r="H187" s="23"/>
      <c r="I187" s="104"/>
    </row>
    <row r="188" spans="1:9" x14ac:dyDescent="0.2">
      <c r="A188" s="8"/>
      <c r="B188" s="9"/>
      <c r="C188" s="10"/>
      <c r="D188" s="2"/>
      <c r="E188" s="71"/>
      <c r="F188" s="2"/>
      <c r="G188" s="25"/>
      <c r="H188" s="23"/>
      <c r="I188" s="104"/>
    </row>
    <row r="189" spans="1:9" x14ac:dyDescent="0.2">
      <c r="A189" s="8"/>
      <c r="B189" s="9"/>
      <c r="C189" s="10"/>
      <c r="D189" s="2"/>
      <c r="E189" s="71"/>
      <c r="F189" s="2"/>
      <c r="G189" s="25"/>
      <c r="H189" s="23"/>
      <c r="I189" s="104"/>
    </row>
    <row r="190" spans="1:9" x14ac:dyDescent="0.2">
      <c r="A190" s="8"/>
      <c r="B190" s="9"/>
      <c r="C190" s="10"/>
      <c r="D190" s="2"/>
      <c r="E190" s="71"/>
      <c r="F190" s="2"/>
      <c r="G190" s="25"/>
      <c r="H190" s="23"/>
      <c r="I190" s="104"/>
    </row>
    <row r="191" spans="1:9" x14ac:dyDescent="0.2">
      <c r="A191" s="8"/>
      <c r="B191" s="9"/>
      <c r="C191" s="10"/>
      <c r="D191" s="2"/>
      <c r="E191" s="71"/>
      <c r="F191" s="2"/>
      <c r="G191" s="25"/>
      <c r="H191" s="23"/>
      <c r="I191" s="104"/>
    </row>
    <row r="192" spans="1:9" x14ac:dyDescent="0.2">
      <c r="A192" s="8"/>
      <c r="B192" s="9"/>
      <c r="C192" s="10"/>
      <c r="D192" s="2"/>
      <c r="E192" s="71"/>
      <c r="F192" s="2"/>
      <c r="G192" s="25"/>
      <c r="H192" s="23"/>
      <c r="I192" s="104"/>
    </row>
    <row r="193" spans="1:9" x14ac:dyDescent="0.2">
      <c r="A193" s="8"/>
      <c r="B193" s="9"/>
      <c r="C193" s="10"/>
      <c r="D193" s="2"/>
      <c r="E193" s="71"/>
      <c r="F193" s="2"/>
      <c r="G193" s="25"/>
      <c r="H193" s="23"/>
      <c r="I193" s="104"/>
    </row>
    <row r="194" spans="1:9" x14ac:dyDescent="0.2">
      <c r="A194" s="8"/>
      <c r="B194" s="9"/>
      <c r="C194" s="10"/>
      <c r="D194" s="2"/>
      <c r="E194" s="71"/>
      <c r="F194" s="2"/>
      <c r="G194" s="25"/>
      <c r="H194" s="23"/>
      <c r="I194" s="104"/>
    </row>
    <row r="195" spans="1:9" x14ac:dyDescent="0.2">
      <c r="A195" s="8"/>
      <c r="B195" s="9"/>
      <c r="C195" s="10"/>
      <c r="D195" s="2"/>
      <c r="E195" s="71"/>
      <c r="F195" s="2"/>
      <c r="G195" s="25"/>
      <c r="H195" s="23"/>
      <c r="I195" s="104"/>
    </row>
    <row r="196" spans="1:9" x14ac:dyDescent="0.2">
      <c r="A196" s="8"/>
      <c r="B196" s="9"/>
      <c r="C196" s="10"/>
      <c r="D196" s="2"/>
      <c r="E196" s="71"/>
      <c r="F196" s="2"/>
      <c r="G196" s="25"/>
      <c r="H196" s="23"/>
      <c r="I196" s="104"/>
    </row>
    <row r="197" spans="1:9" x14ac:dyDescent="0.2">
      <c r="A197" s="8"/>
      <c r="B197" s="9"/>
      <c r="C197" s="10"/>
      <c r="D197" s="2"/>
      <c r="E197" s="71"/>
      <c r="F197" s="2"/>
      <c r="G197" s="25"/>
      <c r="H197" s="23"/>
      <c r="I197" s="104"/>
    </row>
    <row r="198" spans="1:9" x14ac:dyDescent="0.2">
      <c r="A198" s="8"/>
      <c r="B198" s="9"/>
      <c r="C198" s="10"/>
      <c r="D198" s="2"/>
      <c r="E198" s="71"/>
      <c r="F198" s="2"/>
      <c r="G198" s="25"/>
      <c r="H198" s="23"/>
      <c r="I198" s="104"/>
    </row>
    <row r="199" spans="1:9" x14ac:dyDescent="0.2">
      <c r="A199" s="8"/>
      <c r="B199" s="9"/>
      <c r="C199" s="10"/>
      <c r="D199" s="2"/>
      <c r="E199" s="71"/>
      <c r="F199" s="2"/>
      <c r="G199" s="25"/>
      <c r="H199" s="23"/>
      <c r="I199" s="104"/>
    </row>
    <row r="200" spans="1:9" x14ac:dyDescent="0.2">
      <c r="A200" s="8"/>
      <c r="B200" s="9"/>
      <c r="C200" s="10"/>
      <c r="D200" s="2"/>
      <c r="E200" s="71"/>
      <c r="F200" s="2"/>
      <c r="G200" s="25"/>
      <c r="H200" s="23"/>
      <c r="I200" s="104"/>
    </row>
    <row r="201" spans="1:9" x14ac:dyDescent="0.2">
      <c r="A201" s="8"/>
      <c r="B201" s="9"/>
      <c r="C201" s="10"/>
      <c r="D201" s="2"/>
      <c r="E201" s="71"/>
      <c r="F201" s="2"/>
      <c r="G201" s="25"/>
      <c r="H201" s="23"/>
      <c r="I201" s="104"/>
    </row>
    <row r="202" spans="1:9" x14ac:dyDescent="0.2">
      <c r="A202" s="8"/>
      <c r="B202" s="9"/>
      <c r="C202" s="10"/>
      <c r="D202" s="2"/>
      <c r="E202" s="71"/>
      <c r="F202" s="2"/>
      <c r="G202" s="25"/>
      <c r="H202" s="23"/>
      <c r="I202" s="104"/>
    </row>
    <row r="203" spans="1:9" x14ac:dyDescent="0.2">
      <c r="A203" s="8"/>
      <c r="B203" s="9"/>
      <c r="C203" s="10"/>
      <c r="D203" s="2"/>
      <c r="E203" s="71"/>
      <c r="F203" s="2"/>
      <c r="G203" s="25"/>
      <c r="H203" s="23"/>
      <c r="I203" s="104"/>
    </row>
    <row r="204" spans="1:9" x14ac:dyDescent="0.2">
      <c r="A204" s="8"/>
      <c r="B204" s="9"/>
      <c r="C204" s="10"/>
      <c r="D204" s="2"/>
      <c r="E204" s="71"/>
      <c r="F204" s="2"/>
      <c r="G204" s="25"/>
      <c r="H204" s="23"/>
      <c r="I204" s="104"/>
    </row>
    <row r="205" spans="1:9" x14ac:dyDescent="0.2">
      <c r="A205" s="8"/>
      <c r="B205" s="9"/>
      <c r="C205" s="10"/>
      <c r="D205" s="2"/>
      <c r="E205" s="71"/>
      <c r="F205" s="2"/>
      <c r="G205" s="25"/>
      <c r="H205" s="23"/>
      <c r="I205" s="104"/>
    </row>
    <row r="206" spans="1:9" x14ac:dyDescent="0.2">
      <c r="A206" s="8"/>
      <c r="B206" s="9"/>
      <c r="C206" s="10"/>
      <c r="D206" s="2"/>
      <c r="E206" s="71"/>
      <c r="F206" s="2"/>
      <c r="G206" s="25"/>
      <c r="H206" s="23"/>
      <c r="I206" s="104"/>
    </row>
    <row r="207" spans="1:9" x14ac:dyDescent="0.2">
      <c r="A207" s="8"/>
      <c r="B207" s="9"/>
      <c r="C207" s="10"/>
      <c r="D207" s="2"/>
      <c r="E207" s="71"/>
      <c r="F207" s="2"/>
      <c r="G207" s="25"/>
      <c r="H207" s="23"/>
      <c r="I207" s="104"/>
    </row>
    <row r="208" spans="1:9" x14ac:dyDescent="0.2">
      <c r="A208" s="8"/>
      <c r="B208" s="9"/>
      <c r="C208" s="10"/>
      <c r="D208" s="2"/>
      <c r="E208" s="71"/>
      <c r="F208" s="2"/>
      <c r="G208" s="25"/>
      <c r="H208" s="23"/>
      <c r="I208" s="104"/>
    </row>
    <row r="209" spans="1:9" x14ac:dyDescent="0.2">
      <c r="A209" s="8"/>
      <c r="B209" s="9"/>
      <c r="C209" s="10"/>
      <c r="D209" s="2"/>
      <c r="E209" s="71"/>
      <c r="F209" s="2"/>
      <c r="G209" s="25"/>
      <c r="H209" s="23"/>
      <c r="I209" s="104"/>
    </row>
    <row r="210" spans="1:9" x14ac:dyDescent="0.2">
      <c r="A210" s="8"/>
      <c r="B210" s="9"/>
      <c r="C210" s="10"/>
      <c r="D210" s="2"/>
      <c r="E210" s="71"/>
      <c r="F210" s="2"/>
      <c r="G210" s="25"/>
      <c r="H210" s="23"/>
      <c r="I210" s="104"/>
    </row>
    <row r="211" spans="1:9" x14ac:dyDescent="0.2">
      <c r="A211" s="8"/>
      <c r="B211" s="9"/>
      <c r="C211" s="10"/>
      <c r="D211" s="2"/>
      <c r="E211" s="71"/>
      <c r="F211" s="2"/>
      <c r="G211" s="25"/>
      <c r="H211" s="23"/>
      <c r="I211" s="104"/>
    </row>
    <row r="212" spans="1:9" x14ac:dyDescent="0.2">
      <c r="A212" s="8"/>
      <c r="B212" s="9"/>
      <c r="C212" s="10"/>
      <c r="D212" s="2"/>
      <c r="E212" s="71"/>
      <c r="F212" s="2"/>
      <c r="G212" s="25"/>
      <c r="H212" s="23"/>
      <c r="I212" s="104"/>
    </row>
    <row r="213" spans="1:9" x14ac:dyDescent="0.2">
      <c r="A213" s="8"/>
      <c r="B213" s="9"/>
      <c r="C213" s="10"/>
      <c r="D213" s="2"/>
      <c r="E213" s="71"/>
      <c r="F213" s="2"/>
      <c r="G213" s="25"/>
      <c r="H213" s="23"/>
      <c r="I213" s="104"/>
    </row>
    <row r="214" spans="1:9" x14ac:dyDescent="0.2">
      <c r="A214" s="8"/>
      <c r="B214" s="9"/>
      <c r="C214" s="10"/>
      <c r="D214" s="2"/>
      <c r="E214" s="71"/>
      <c r="F214" s="2"/>
      <c r="G214" s="25"/>
      <c r="H214" s="23"/>
      <c r="I214" s="104"/>
    </row>
    <row r="215" spans="1:9" x14ac:dyDescent="0.2">
      <c r="A215" s="8"/>
      <c r="B215" s="9"/>
      <c r="C215" s="10"/>
      <c r="D215" s="2"/>
      <c r="E215" s="71"/>
      <c r="F215" s="2"/>
      <c r="G215" s="25"/>
      <c r="H215" s="23"/>
      <c r="I215" s="104"/>
    </row>
    <row r="216" spans="1:9" x14ac:dyDescent="0.2">
      <c r="A216" s="8"/>
      <c r="B216" s="9"/>
      <c r="C216" s="10"/>
      <c r="D216" s="2"/>
      <c r="E216" s="71"/>
      <c r="F216" s="2"/>
      <c r="G216" s="25"/>
      <c r="H216" s="23"/>
      <c r="I216" s="104"/>
    </row>
    <row r="217" spans="1:9" x14ac:dyDescent="0.2">
      <c r="A217" s="8"/>
      <c r="B217" s="9"/>
      <c r="C217" s="10"/>
      <c r="D217" s="2"/>
      <c r="E217" s="71"/>
      <c r="F217" s="2"/>
      <c r="G217" s="25"/>
      <c r="H217" s="23"/>
      <c r="I217" s="104"/>
    </row>
    <row r="218" spans="1:9" x14ac:dyDescent="0.2">
      <c r="A218" s="8"/>
      <c r="B218" s="9"/>
      <c r="C218" s="10"/>
      <c r="D218" s="2"/>
      <c r="E218" s="71"/>
      <c r="F218" s="2"/>
      <c r="G218" s="25"/>
      <c r="H218" s="23"/>
      <c r="I218" s="104"/>
    </row>
    <row r="219" spans="1:9" x14ac:dyDescent="0.2">
      <c r="A219" s="8"/>
      <c r="B219" s="9"/>
      <c r="C219" s="10"/>
      <c r="D219" s="2"/>
      <c r="E219" s="71"/>
      <c r="F219" s="2"/>
      <c r="G219" s="25"/>
      <c r="H219" s="23"/>
      <c r="I219" s="104"/>
    </row>
    <row r="220" spans="1:9" x14ac:dyDescent="0.2">
      <c r="A220" s="8"/>
      <c r="B220" s="9"/>
      <c r="C220" s="10"/>
      <c r="D220" s="2"/>
      <c r="E220" s="71"/>
      <c r="F220" s="2"/>
      <c r="G220" s="25"/>
      <c r="H220" s="23"/>
      <c r="I220" s="104"/>
    </row>
    <row r="221" spans="1:9" x14ac:dyDescent="0.2">
      <c r="A221" s="8"/>
      <c r="B221" s="9"/>
      <c r="C221" s="10"/>
      <c r="D221" s="2"/>
      <c r="E221" s="71"/>
      <c r="F221" s="2"/>
      <c r="G221" s="25"/>
      <c r="H221" s="23"/>
      <c r="I221" s="104"/>
    </row>
    <row r="222" spans="1:9" x14ac:dyDescent="0.2">
      <c r="A222" s="8"/>
      <c r="B222" s="9"/>
      <c r="C222" s="10"/>
      <c r="D222" s="2"/>
      <c r="E222" s="71"/>
      <c r="F222" s="2"/>
      <c r="G222" s="25"/>
      <c r="H222" s="23"/>
      <c r="I222" s="104"/>
    </row>
    <row r="223" spans="1:9" x14ac:dyDescent="0.2">
      <c r="A223" s="8"/>
      <c r="B223" s="9"/>
      <c r="C223" s="10"/>
      <c r="D223" s="2"/>
      <c r="E223" s="71"/>
      <c r="F223" s="2"/>
      <c r="G223" s="25"/>
      <c r="H223" s="23"/>
      <c r="I223" s="104"/>
    </row>
    <row r="224" spans="1:9" x14ac:dyDescent="0.2">
      <c r="A224" s="8"/>
      <c r="B224" s="9"/>
      <c r="C224" s="10"/>
      <c r="D224" s="2"/>
      <c r="E224" s="71"/>
      <c r="F224" s="2"/>
      <c r="G224" s="25"/>
      <c r="H224" s="23"/>
      <c r="I224" s="104"/>
    </row>
    <row r="225" spans="1:9" x14ac:dyDescent="0.2">
      <c r="A225" s="8"/>
      <c r="B225" s="9"/>
      <c r="C225" s="10"/>
      <c r="D225" s="2"/>
      <c r="E225" s="71"/>
      <c r="F225" s="2"/>
      <c r="G225" s="25"/>
      <c r="H225" s="23"/>
      <c r="I225" s="104"/>
    </row>
    <row r="226" spans="1:9" x14ac:dyDescent="0.2">
      <c r="A226" s="8"/>
      <c r="B226" s="9"/>
      <c r="C226" s="10"/>
      <c r="D226" s="2"/>
      <c r="E226" s="71"/>
      <c r="F226" s="2"/>
      <c r="G226" s="25"/>
      <c r="H226" s="23"/>
      <c r="I226" s="104"/>
    </row>
    <row r="227" spans="1:9" x14ac:dyDescent="0.2">
      <c r="A227" s="8"/>
      <c r="B227" s="9"/>
      <c r="C227" s="10"/>
      <c r="D227" s="2"/>
      <c r="E227" s="71"/>
      <c r="F227" s="2"/>
      <c r="G227" s="25"/>
      <c r="H227" s="23"/>
      <c r="I227" s="104"/>
    </row>
    <row r="228" spans="1:9" x14ac:dyDescent="0.2">
      <c r="A228" s="8"/>
      <c r="B228" s="9"/>
      <c r="C228" s="10"/>
      <c r="D228" s="2"/>
      <c r="E228" s="71"/>
      <c r="F228" s="2"/>
      <c r="G228" s="25"/>
      <c r="H228" s="23"/>
      <c r="I228" s="104"/>
    </row>
    <row r="229" spans="1:9" x14ac:dyDescent="0.2">
      <c r="A229" s="8"/>
      <c r="B229" s="9"/>
      <c r="C229" s="10"/>
      <c r="D229" s="2"/>
      <c r="E229" s="71"/>
      <c r="F229" s="2"/>
      <c r="G229" s="25"/>
      <c r="H229" s="23"/>
      <c r="I229" s="104"/>
    </row>
    <row r="230" spans="1:9" x14ac:dyDescent="0.2">
      <c r="A230" s="8"/>
      <c r="B230" s="9"/>
      <c r="C230" s="10"/>
      <c r="D230" s="2"/>
      <c r="E230" s="71"/>
      <c r="F230" s="2"/>
      <c r="G230" s="25"/>
      <c r="H230" s="23"/>
      <c r="I230" s="104"/>
    </row>
    <row r="231" spans="1:9" x14ac:dyDescent="0.2">
      <c r="A231" s="8"/>
      <c r="B231" s="9"/>
      <c r="C231" s="10"/>
      <c r="D231" s="2"/>
      <c r="E231" s="71"/>
      <c r="F231" s="2"/>
      <c r="G231" s="25"/>
      <c r="H231" s="23"/>
      <c r="I231" s="104"/>
    </row>
    <row r="232" spans="1:9" x14ac:dyDescent="0.2">
      <c r="A232" s="8"/>
      <c r="B232" s="9"/>
      <c r="C232" s="10"/>
      <c r="D232" s="2"/>
      <c r="E232" s="71"/>
      <c r="F232" s="2"/>
      <c r="G232" s="25"/>
      <c r="H232" s="23"/>
      <c r="I232" s="104"/>
    </row>
    <row r="233" spans="1:9" x14ac:dyDescent="0.2">
      <c r="A233" s="8"/>
      <c r="B233" s="9"/>
      <c r="C233" s="10"/>
      <c r="D233" s="2"/>
      <c r="E233" s="71"/>
      <c r="F233" s="2"/>
      <c r="G233" s="25"/>
      <c r="H233" s="23"/>
      <c r="I233" s="104"/>
    </row>
    <row r="234" spans="1:9" x14ac:dyDescent="0.2">
      <c r="A234" s="8"/>
      <c r="B234" s="9"/>
      <c r="C234" s="10"/>
      <c r="D234" s="2"/>
      <c r="E234" s="71"/>
      <c r="F234" s="2"/>
      <c r="G234" s="25"/>
      <c r="H234" s="23"/>
      <c r="I234" s="104"/>
    </row>
    <row r="235" spans="1:9" x14ac:dyDescent="0.2">
      <c r="A235" s="8"/>
      <c r="B235" s="9"/>
      <c r="C235" s="10"/>
      <c r="D235" s="2"/>
      <c r="E235" s="71"/>
      <c r="F235" s="2"/>
      <c r="G235" s="25"/>
      <c r="H235" s="23"/>
      <c r="I235" s="104"/>
    </row>
    <row r="236" spans="1:9" x14ac:dyDescent="0.2">
      <c r="A236" s="8"/>
      <c r="B236" s="9"/>
      <c r="C236" s="10"/>
      <c r="D236" s="2"/>
      <c r="E236" s="71"/>
      <c r="F236" s="2"/>
      <c r="G236" s="25"/>
      <c r="H236" s="23"/>
      <c r="I236" s="104"/>
    </row>
    <row r="237" spans="1:9" x14ac:dyDescent="0.2">
      <c r="A237" s="8"/>
      <c r="B237" s="9"/>
      <c r="C237" s="10"/>
      <c r="D237" s="2"/>
      <c r="E237" s="71"/>
      <c r="F237" s="2"/>
      <c r="G237" s="25"/>
      <c r="H237" s="23"/>
      <c r="I237" s="104"/>
    </row>
    <row r="238" spans="1:9" x14ac:dyDescent="0.2">
      <c r="A238" s="8"/>
      <c r="B238" s="9"/>
      <c r="C238" s="10"/>
      <c r="D238" s="2"/>
      <c r="E238" s="71"/>
      <c r="F238" s="2"/>
      <c r="G238" s="25"/>
      <c r="H238" s="23"/>
      <c r="I238" s="104"/>
    </row>
    <row r="239" spans="1:9" x14ac:dyDescent="0.2">
      <c r="A239" s="8"/>
      <c r="B239" s="9"/>
      <c r="C239" s="10"/>
      <c r="D239" s="2"/>
      <c r="E239" s="71"/>
      <c r="F239" s="2"/>
      <c r="G239" s="25"/>
      <c r="H239" s="23"/>
      <c r="I239" s="104"/>
    </row>
    <row r="240" spans="1:9" x14ac:dyDescent="0.2">
      <c r="A240" s="8"/>
      <c r="B240" s="9"/>
      <c r="C240" s="10"/>
      <c r="D240" s="2"/>
      <c r="E240" s="71"/>
      <c r="F240" s="2"/>
      <c r="G240" s="25"/>
      <c r="H240" s="23"/>
      <c r="I240" s="104"/>
    </row>
    <row r="241" spans="1:9" x14ac:dyDescent="0.2">
      <c r="A241" s="8"/>
      <c r="B241" s="9"/>
      <c r="C241" s="10"/>
      <c r="D241" s="2"/>
      <c r="E241" s="71"/>
      <c r="F241" s="2"/>
      <c r="G241" s="25"/>
      <c r="H241" s="23"/>
      <c r="I241" s="104"/>
    </row>
  </sheetData>
  <mergeCells count="4">
    <mergeCell ref="A1:G2"/>
    <mergeCell ref="I43:Q43"/>
    <mergeCell ref="I49:M49"/>
    <mergeCell ref="I61:M6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Processos</vt:lpstr>
      <vt:lpstr>Dados</vt:lpstr>
      <vt:lpstr>Prorrogação_Distribuição</vt:lpstr>
      <vt:lpstr>Repactuação_Distribuição</vt:lpstr>
      <vt:lpstr>Alteração Contratual Distrib</vt:lpstr>
      <vt:lpstr>Formalização de Contrato Distr</vt:lpstr>
      <vt:lpstr>Setor Administrativo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 MARIA RODRIGUES FERREIRA</dc:creator>
  <cp:lastModifiedBy>usuario</cp:lastModifiedBy>
  <cp:lastPrinted>2018-08-09T17:00:55Z</cp:lastPrinted>
  <dcterms:created xsi:type="dcterms:W3CDTF">2010-01-05T11:09:21Z</dcterms:created>
  <dcterms:modified xsi:type="dcterms:W3CDTF">2018-11-01T20:11:44Z</dcterms:modified>
</cp:coreProperties>
</file>