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xr:revisionPtr revIDLastSave="0" documentId="13_ncr:1_{83164C52-63DB-4DA2-B27C-7F00542606ED}" xr6:coauthVersionLast="38" xr6:coauthVersionMax="38" xr10:uidLastSave="{00000000-0000-0000-0000-000000000000}"/>
  <bookViews>
    <workbookView xWindow="0" yWindow="0" windowWidth="17256" windowHeight="5580" xr2:uid="{00000000-000D-0000-FFFF-FFFF00000000}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Processos!$A$4:$K$285</definedName>
    <definedName name="_xlnm._FilterDatabase" localSheetId="2" hidden="1">Prorrogação_Distribuição!$A$1:$E$28</definedName>
    <definedName name="ListaEdital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8" l="1"/>
  <c r="I5" i="8"/>
  <c r="H5" i="8"/>
  <c r="G5" i="8"/>
  <c r="F5" i="8"/>
  <c r="E5" i="8"/>
  <c r="D5" i="8"/>
  <c r="C5" i="8"/>
  <c r="B5" i="8" l="1"/>
  <c r="A5" i="8"/>
  <c r="J7" i="8" l="1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6" i="8"/>
  <c r="I12" i="8" l="1"/>
  <c r="I285" i="8" l="1"/>
  <c r="I284" i="8"/>
  <c r="I283" i="8"/>
  <c r="I282" i="8"/>
  <c r="I281" i="8"/>
  <c r="I280" i="8"/>
  <c r="I249" i="8" l="1"/>
  <c r="I250" i="8" l="1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48" i="8"/>
  <c r="I247" i="8" l="1"/>
  <c r="I246" i="8"/>
  <c r="I245" i="8" l="1"/>
  <c r="I244" i="8" l="1"/>
  <c r="I243" i="8" l="1"/>
  <c r="I242" i="8"/>
  <c r="I241" i="8" l="1"/>
  <c r="I240" i="8"/>
  <c r="I239" i="8"/>
  <c r="I238" i="8"/>
  <c r="I237" i="8"/>
  <c r="I236" i="8" l="1"/>
  <c r="I231" i="8" l="1"/>
  <c r="I232" i="8"/>
  <c r="I233" i="8"/>
  <c r="I234" i="8"/>
  <c r="I230" i="8" l="1"/>
  <c r="I229" i="8"/>
  <c r="I228" i="8"/>
  <c r="I227" i="8"/>
  <c r="I226" i="8" l="1"/>
  <c r="I225" i="8" l="1"/>
  <c r="I224" i="8"/>
  <c r="I223" i="8" l="1"/>
  <c r="I222" i="8"/>
  <c r="I221" i="8"/>
  <c r="I220" i="8"/>
  <c r="I219" i="8" l="1"/>
  <c r="I218" i="8" l="1"/>
  <c r="I217" i="8" l="1"/>
  <c r="I216" i="8"/>
  <c r="I215" i="8" l="1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26" i="8"/>
  <c r="I169" i="8"/>
  <c r="I168" i="8"/>
  <c r="I167" i="8"/>
  <c r="I166" i="8"/>
  <c r="K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89" i="8"/>
  <c r="I95" i="8"/>
  <c r="I94" i="8"/>
  <c r="I93" i="8"/>
  <c r="I92" i="8"/>
  <c r="I91" i="8"/>
  <c r="I90" i="8"/>
  <c r="I116" i="8"/>
  <c r="I115" i="8"/>
  <c r="I114" i="8"/>
  <c r="I113" i="8"/>
  <c r="I109" i="8"/>
  <c r="I5" i="7"/>
  <c r="I7" i="8"/>
  <c r="I8" i="8"/>
  <c r="I9" i="8"/>
  <c r="I10" i="8"/>
  <c r="I11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10" i="8"/>
  <c r="I111" i="8"/>
  <c r="I112" i="8"/>
  <c r="I117" i="8"/>
  <c r="I118" i="8"/>
  <c r="I119" i="8"/>
  <c r="I120" i="8"/>
  <c r="I6" i="8"/>
  <c r="D4" i="7" l="1"/>
  <c r="I7" i="7"/>
  <c r="I8" i="7"/>
  <c r="D2" i="7"/>
  <c r="D9" i="7"/>
  <c r="I6" i="7"/>
  <c r="I3" i="7"/>
  <c r="D7" i="7"/>
  <c r="I2" i="7"/>
  <c r="D11" i="7"/>
  <c r="I4" i="7"/>
  <c r="D12" i="7"/>
  <c r="D5" i="7"/>
  <c r="G2" i="8"/>
  <c r="D10" i="7"/>
  <c r="D3" i="7"/>
  <c r="D6" i="7"/>
  <c r="D8" i="7"/>
</calcChain>
</file>

<file path=xl/sharedStrings.xml><?xml version="1.0" encoding="utf-8"?>
<sst xmlns="http://schemas.openxmlformats.org/spreadsheetml/2006/main" count="3267" uniqueCount="1350">
  <si>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</si>
  <si>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</si>
  <si>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</si>
  <si>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</si>
  <si>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</si>
  <si>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</si>
  <si>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</si>
  <si>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</si>
  <si>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</si>
  <si>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</si>
  <si>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</si>
  <si>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</si>
  <si>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</si>
  <si>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</si>
  <si>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</si>
  <si>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</si>
  <si>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</si>
  <si>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</si>
  <si>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</si>
  <si>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</si>
  <si>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</si>
  <si>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</si>
  <si>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</si>
  <si>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</si>
  <si>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</si>
  <si>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</si>
  <si>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</si>
  <si>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</si>
  <si>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</si>
  <si>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</si>
  <si>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</si>
  <si>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</si>
  <si>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</si>
  <si>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</si>
  <si>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</si>
  <si>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</si>
  <si>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</si>
  <si>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</si>
  <si>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</si>
  <si>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</si>
  <si>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</si>
  <si>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</si>
  <si>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</si>
  <si>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</si>
  <si>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</si>
  <si>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</si>
  <si>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</si>
  <si>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</si>
  <si>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</si>
  <si>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</si>
  <si>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</si>
  <si>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</si>
  <si>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</si>
  <si>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</si>
  <si>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</si>
  <si>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</si>
  <si>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</si>
  <si>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</si>
  <si>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</si>
  <si>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</si>
  <si>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</si>
  <si>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</si>
  <si>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</si>
  <si>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</si>
  <si>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</si>
  <si>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</si>
  <si>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</si>
  <si>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</si>
  <si>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</si>
  <si>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</si>
  <si>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</si>
  <si>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</si>
  <si>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</si>
  <si>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</si>
  <si>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</si>
  <si>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</si>
  <si>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</si>
  <si>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</si>
  <si>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</si>
  <si>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</si>
  <si>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</si>
  <si>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</si>
  <si>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</si>
  <si>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</si>
  <si>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</si>
  <si>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</si>
  <si>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</si>
  <si>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</si>
  <si>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</si>
  <si>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</si>
  <si>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</si>
  <si>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</si>
  <si>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</si>
  <si>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</si>
  <si>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</si>
  <si>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</si>
  <si>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</si>
  <si>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</si>
  <si>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</si>
  <si>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</si>
  <si>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</si>
  <si>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</si>
  <si>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</si>
  <si>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</si>
  <si>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</si>
  <si>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</si>
  <si>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</si>
  <si>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</si>
  <si>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</si>
  <si>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</si>
  <si>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</si>
  <si>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</si>
  <si>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</si>
  <si>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</si>
  <si>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</si>
  <si>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</si>
  <si>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</si>
  <si>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</si>
  <si>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</si>
  <si>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</si>
  <si>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</si>
  <si>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</si>
  <si>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</si>
  <si>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</si>
  <si>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</si>
  <si>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</si>
  <si>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</si>
  <si>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</si>
  <si>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</si>
  <si>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</si>
  <si>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</si>
  <si>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</si>
  <si>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</si>
  <si>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</si>
  <si>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</si>
  <si>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</si>
  <si>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</si>
  <si>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</si>
  <si>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</si>
  <si>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</si>
  <si>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</si>
  <si>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</si>
  <si>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</si>
  <si>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</si>
  <si>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</si>
  <si>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</si>
  <si>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</si>
  <si>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</si>
  <si>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</si>
  <si>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</si>
  <si>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</si>
  <si>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</si>
  <si>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</si>
  <si>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</si>
  <si>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</si>
  <si>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</si>
  <si>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</si>
  <si>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</si>
  <si>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</si>
  <si>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</si>
  <si>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</si>
  <si>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</si>
  <si>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</si>
  <si>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</si>
  <si>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</si>
  <si>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</si>
  <si>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</si>
  <si>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</si>
  <si>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</si>
  <si>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</si>
  <si>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</si>
  <si>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</si>
  <si>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</si>
  <si>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</si>
  <si>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</si>
  <si>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</si>
  <si>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</si>
  <si>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</si>
  <si>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</si>
  <si>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</si>
  <si>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</si>
  <si>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</si>
  <si>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</si>
  <si>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</si>
  <si>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</si>
  <si>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</si>
  <si>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</si>
  <si>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</si>
  <si>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</si>
  <si>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</si>
  <si>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</si>
  <si>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</si>
  <si>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</si>
  <si>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</si>
  <si>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</si>
  <si>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</si>
  <si>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</si>
  <si>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</si>
  <si>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</si>
  <si>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</si>
  <si>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</si>
  <si>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</si>
  <si>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</si>
  <si>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</si>
  <si>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</si>
  <si>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</si>
  <si>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</si>
  <si>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</si>
  <si>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</si>
  <si>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</si>
  <si>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</si>
  <si>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</si>
  <si>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</si>
  <si>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</si>
  <si>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</si>
  <si>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</si>
  <si>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</si>
  <si>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</si>
  <si>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</si>
  <si>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</si>
  <si>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</si>
  <si>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</si>
  <si>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</si>
  <si>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</si>
  <si>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</si>
  <si>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</si>
  <si>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</si>
  <si>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</si>
  <si>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</si>
  <si>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</si>
  <si>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</si>
  <si>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</si>
  <si>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</si>
  <si>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</si>
  <si>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</si>
  <si>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</si>
  <si>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</si>
  <si>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</si>
  <si>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</si>
  <si>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</si>
  <si>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</si>
  <si>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</si>
  <si>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</si>
  <si>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</si>
  <si>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</si>
  <si>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</si>
  <si>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</si>
  <si>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</si>
  <si>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</si>
  <si>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</si>
  <si>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</si>
  <si>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</si>
  <si>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</si>
  <si>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</si>
  <si>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</si>
  <si>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</si>
  <si>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</si>
  <si>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</si>
  <si>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</si>
  <si>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</si>
  <si>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</si>
  <si>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</si>
  <si>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</si>
  <si>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</si>
  <si>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</si>
  <si>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</si>
  <si>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</si>
  <si>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</si>
  <si>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</si>
  <si>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</si>
  <si>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</si>
  <si>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</si>
  <si>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</si>
  <si>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</si>
  <si>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</si>
  <si>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</si>
  <si>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</si>
  <si>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</si>
  <si>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</si>
  <si>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</si>
  <si>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</si>
  <si>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</si>
  <si>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</si>
  <si>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</si>
  <si>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</si>
  <si>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</si>
  <si>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</si>
  <si>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</si>
  <si>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</si>
  <si>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</si>
  <si>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</si>
  <si>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</si>
  <si>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</si>
  <si>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</si>
  <si>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</si>
  <si>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</si>
  <si>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</si>
  <si>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</si>
  <si>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</si>
  <si>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</si>
  <si>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</si>
  <si>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</si>
  <si>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</si>
  <si>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</si>
  <si>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</si>
  <si>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</si>
  <si>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</si>
  <si>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</si>
  <si>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</si>
  <si>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</si>
  <si>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</si>
  <si>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</si>
  <si>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</si>
  <si>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</si>
  <si>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</si>
  <si>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</si>
  <si>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</si>
  <si>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</si>
  <si>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</si>
  <si>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</si>
  <si>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</si>
  <si>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</si>
  <si>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</si>
  <si>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</si>
  <si>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</si>
  <si>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</si>
  <si>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</si>
  <si>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</si>
  <si>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</si>
  <si>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</si>
  <si>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</si>
  <si>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</si>
  <si>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</si>
  <si>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</si>
  <si>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</si>
  <si>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</si>
  <si>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</si>
  <si>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</si>
  <si>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</si>
  <si>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</si>
  <si>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</si>
  <si>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</si>
  <si>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</si>
  <si>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</si>
  <si>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</si>
  <si>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</si>
  <si>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</si>
  <si>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</si>
  <si>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</si>
  <si>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</si>
  <si>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</si>
  <si>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</si>
  <si>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</si>
  <si>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</si>
  <si>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</si>
  <si>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</si>
  <si>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</si>
  <si>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</si>
  <si>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</si>
  <si>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</si>
  <si>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</si>
  <si>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</si>
  <si>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</si>
  <si>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</si>
  <si>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</si>
  <si>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</si>
  <si>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</si>
  <si>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</si>
  <si>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</si>
  <si>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</si>
  <si>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</si>
  <si>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</si>
  <si>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</si>
  <si>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</si>
  <si>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</si>
  <si>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</si>
  <si>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</si>
  <si>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</si>
  <si>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</si>
  <si>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</si>
  <si>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</si>
  <si>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</si>
  <si>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</si>
  <si>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</si>
  <si>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</si>
  <si>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</si>
  <si>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</si>
  <si>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</si>
  <si>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</si>
  <si>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</si>
  <si>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</si>
  <si>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</si>
  <si>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</si>
  <si>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</si>
  <si>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</si>
  <si>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</si>
  <si>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</si>
  <si>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</si>
  <si>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</si>
  <si>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</si>
  <si>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</si>
  <si>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</si>
  <si>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</si>
  <si>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</si>
  <si>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</si>
  <si>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</si>
  <si>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</si>
  <si>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</si>
  <si>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</si>
  <si>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</si>
  <si>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</si>
  <si>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</si>
  <si>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</si>
  <si>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</si>
  <si>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</si>
  <si>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</si>
  <si>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</si>
  <si>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</si>
  <si>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</si>
  <si>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</si>
  <si>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</si>
  <si>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</si>
  <si>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</si>
  <si>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</si>
  <si>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</si>
  <si>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</si>
  <si>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</si>
  <si>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</si>
  <si>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</si>
  <si>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</si>
  <si>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</si>
  <si>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</si>
  <si>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</si>
  <si>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</si>
  <si>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</si>
  <si>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</si>
  <si>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</si>
  <si>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</si>
  <si>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</si>
  <si>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</si>
  <si>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</si>
  <si>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</si>
  <si>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</si>
  <si>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</si>
  <si>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</si>
  <si>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</si>
  <si>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</si>
  <si>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</si>
  <si>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</si>
  <si>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</si>
  <si>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</si>
  <si>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</si>
  <si>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</si>
  <si>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</si>
  <si>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</si>
  <si>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</si>
  <si>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</si>
  <si>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</si>
  <si>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</si>
  <si>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</si>
  <si>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</si>
  <si>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</si>
  <si>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</si>
  <si>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</si>
  <si>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</si>
  <si>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</si>
  <si>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</si>
  <si>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</si>
  <si>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</si>
  <si>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</si>
  <si>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</si>
  <si>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</si>
  <si>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</si>
  <si>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</si>
  <si>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</si>
  <si>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</si>
  <si>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</si>
  <si>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</si>
  <si>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</si>
  <si>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</si>
  <si>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</si>
  <si>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</si>
  <si>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</si>
  <si>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</si>
  <si>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</si>
  <si>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</si>
  <si>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</si>
  <si>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</si>
  <si>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</si>
  <si>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</si>
  <si>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</si>
  <si>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</si>
  <si>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</si>
  <si>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</si>
  <si>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</si>
  <si>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</si>
  <si>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</si>
  <si>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</si>
  <si>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</si>
  <si>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</si>
  <si>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</si>
  <si>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</si>
  <si>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</si>
  <si>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</si>
  <si>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</si>
  <si>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</si>
  <si>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</si>
  <si>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</si>
  <si>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</si>
  <si>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</si>
  <si>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</si>
  <si>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</si>
  <si>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</si>
  <si>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</si>
  <si>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</si>
  <si>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</si>
  <si>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</si>
  <si>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</si>
  <si>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</si>
  <si>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</si>
  <si>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</si>
  <si>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</si>
  <si>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</si>
  <si>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</si>
  <si>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</si>
  <si>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</si>
  <si>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</si>
  <si>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</si>
  <si>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</si>
  <si>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</si>
  <si>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</si>
  <si>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</si>
  <si>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</si>
  <si>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</si>
  <si>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</si>
  <si>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</si>
  <si>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</si>
  <si>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</si>
  <si>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</si>
  <si>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</si>
  <si>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</si>
  <si>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</si>
  <si>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</si>
  <si>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</si>
  <si>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</si>
  <si>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</si>
  <si>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</si>
  <si>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</si>
  <si>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</si>
  <si>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</si>
  <si>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</si>
  <si>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</si>
  <si>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</si>
  <si>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</si>
  <si>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</si>
  <si>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</si>
  <si>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</si>
  <si>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</si>
  <si>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</si>
  <si>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</si>
  <si>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</si>
  <si>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</si>
  <si>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</si>
  <si>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</si>
  <si>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</si>
  <si>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</si>
  <si>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</si>
  <si>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</si>
  <si>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</si>
  <si>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</si>
  <si>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</si>
  <si>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</si>
  <si>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</si>
  <si>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</si>
  <si>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</si>
  <si>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</si>
  <si>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</si>
  <si>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</si>
  <si>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</si>
  <si>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</si>
  <si>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</si>
  <si>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</si>
  <si>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</si>
  <si>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</si>
  <si>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</si>
  <si>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</si>
  <si>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</si>
  <si>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</si>
  <si>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</si>
  <si>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</si>
  <si>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</si>
  <si>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</si>
  <si>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</si>
  <si>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</si>
  <si>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</si>
  <si>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</si>
  <si>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</si>
  <si>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</si>
  <si>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</si>
  <si>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</si>
  <si>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</si>
  <si>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</si>
  <si>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</si>
  <si>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</si>
  <si>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</si>
  <si>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</si>
  <si>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</si>
  <si>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</si>
  <si>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</si>
  <si>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</si>
  <si>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</si>
  <si>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</si>
  <si>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</si>
  <si>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</si>
  <si>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</si>
  <si>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</si>
  <si>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</si>
  <si>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</si>
  <si>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</si>
  <si>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</si>
  <si>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</si>
  <si>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</si>
  <si>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</si>
  <si>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</si>
  <si>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</si>
  <si>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</si>
  <si>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</si>
  <si>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</si>
  <si>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</si>
  <si>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</si>
  <si>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</si>
  <si>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</si>
  <si>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</si>
  <si>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</si>
  <si>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</si>
  <si>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</si>
  <si>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</si>
  <si>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</si>
  <si>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</si>
  <si>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</si>
  <si>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</si>
  <si>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</si>
  <si>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</si>
  <si>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</si>
  <si>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</si>
  <si>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</si>
  <si>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</si>
  <si>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</si>
  <si>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</si>
  <si>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</si>
  <si>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</si>
  <si>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</si>
  <si>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</si>
  <si>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</si>
  <si>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</si>
  <si>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</si>
  <si>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</si>
  <si>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</si>
  <si>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</si>
  <si>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</si>
  <si>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</si>
  <si>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</si>
  <si>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</si>
  <si>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</si>
  <si>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</si>
  <si>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</si>
  <si>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</si>
  <si>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</si>
  <si>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</si>
  <si>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</si>
  <si>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</si>
  <si>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</si>
  <si>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</si>
  <si>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</si>
  <si>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</si>
  <si>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</si>
  <si>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</si>
  <si>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</si>
  <si>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</si>
  <si>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</si>
  <si>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</si>
  <si>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</si>
  <si>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</si>
  <si>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</si>
  <si>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</si>
  <si>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</si>
  <si>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</si>
  <si>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</si>
  <si>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</si>
  <si>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</si>
  <si>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</si>
  <si>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</si>
  <si>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</si>
  <si>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</si>
  <si>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</si>
  <si>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</si>
  <si>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</si>
  <si>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</si>
  <si>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</si>
  <si>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</si>
  <si>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</si>
  <si>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</si>
  <si>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</si>
  <si>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</si>
  <si>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</si>
  <si>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</si>
  <si>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</si>
  <si>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</si>
  <si>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</si>
  <si>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</si>
  <si>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</si>
  <si>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</si>
  <si>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</si>
  <si>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</si>
  <si>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</si>
  <si>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</si>
  <si>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</si>
  <si>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</si>
  <si>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</si>
  <si>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</si>
  <si>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</si>
  <si>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</si>
  <si>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</si>
  <si>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</si>
  <si>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</si>
  <si>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</si>
  <si>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</si>
  <si>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</si>
  <si>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</si>
  <si>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</si>
  <si>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</si>
  <si>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</si>
  <si>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</si>
  <si>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</si>
  <si>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</si>
  <si>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</si>
  <si>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</si>
  <si>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</si>
  <si>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</si>
  <si>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</si>
  <si>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</si>
  <si>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</si>
  <si>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</si>
  <si>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</si>
  <si>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</si>
  <si>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</si>
  <si>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</si>
  <si>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</si>
  <si>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</si>
  <si>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</si>
  <si>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</si>
  <si>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</si>
  <si>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</si>
  <si>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</si>
  <si>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</si>
  <si>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</si>
  <si>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</si>
  <si>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</si>
  <si>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</si>
  <si>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</si>
  <si>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</si>
  <si>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</si>
  <si>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</si>
  <si>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</si>
  <si>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</si>
  <si>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</si>
  <si>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</si>
  <si>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</si>
  <si>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</si>
  <si>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</si>
  <si>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</si>
  <si>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</si>
  <si>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</si>
  <si>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</si>
  <si>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</si>
  <si>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</si>
  <si>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</si>
  <si>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</si>
  <si>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</si>
  <si>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</si>
  <si>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</si>
  <si>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</si>
  <si>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</si>
  <si>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</si>
  <si>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</si>
  <si>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</si>
  <si>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</si>
  <si>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</si>
  <si>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</si>
  <si>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</si>
  <si>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</si>
  <si>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</si>
  <si>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</si>
  <si>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</si>
  <si>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</si>
  <si>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</si>
  <si>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</si>
  <si>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</si>
  <si>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</si>
  <si>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</si>
  <si>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</si>
  <si>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</si>
  <si>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</si>
  <si>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</si>
  <si>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</si>
  <si>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</si>
  <si>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</si>
  <si>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</si>
  <si>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</si>
  <si>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</si>
  <si>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</si>
  <si>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</si>
  <si>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</si>
  <si>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</si>
  <si>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</si>
  <si>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</si>
  <si>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</si>
  <si>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</si>
  <si>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</si>
  <si>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</si>
  <si>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</si>
  <si>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</si>
  <si>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</si>
  <si>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</si>
  <si>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</si>
  <si>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</si>
  <si>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</si>
  <si>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</si>
  <si>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</si>
  <si>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</si>
  <si>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</si>
  <si>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</si>
  <si>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</si>
  <si>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</si>
  <si>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</si>
  <si>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</si>
  <si>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</si>
  <si>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</si>
  <si>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</si>
  <si>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</si>
  <si>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</si>
  <si>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</si>
  <si>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</si>
  <si>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</si>
  <si>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</si>
  <si>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</si>
  <si>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</si>
  <si>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</si>
  <si>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</si>
  <si>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</si>
  <si>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</si>
  <si>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</si>
  <si>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</si>
  <si>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</si>
  <si>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</si>
  <si>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</si>
  <si>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</si>
  <si>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</si>
  <si>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</si>
  <si>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</si>
  <si>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</si>
  <si>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</si>
  <si>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</si>
  <si>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</si>
  <si>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</si>
  <si>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</si>
  <si>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</si>
  <si>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</si>
  <si>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</si>
  <si>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</si>
  <si>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</si>
  <si>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</si>
  <si>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</si>
  <si>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</si>
  <si>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</si>
  <si>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</si>
  <si>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</si>
  <si>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</si>
  <si>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</si>
  <si>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</si>
  <si>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</si>
  <si>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</si>
  <si>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</si>
  <si>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</si>
  <si>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</si>
  <si>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</si>
  <si>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</si>
  <si>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</si>
  <si>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</si>
  <si>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</si>
  <si>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</si>
  <si>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</si>
  <si>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</si>
  <si>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</si>
  <si>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</si>
  <si>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</si>
  <si>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</si>
  <si>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</si>
  <si>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</si>
  <si>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</si>
  <si>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</si>
  <si>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</si>
  <si>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</si>
  <si>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</si>
  <si>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</si>
  <si>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</si>
  <si>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</si>
  <si>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</si>
  <si>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</si>
  <si>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</si>
  <si>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</si>
  <si>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</si>
  <si>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</si>
  <si>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</si>
  <si>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</si>
  <si>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</si>
  <si>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</si>
  <si>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</si>
  <si>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</si>
  <si>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</si>
  <si>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</si>
  <si>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</si>
  <si>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</si>
  <si>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</si>
  <si>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</si>
  <si>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</si>
  <si>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</si>
  <si>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</si>
  <si>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</si>
  <si>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</si>
  <si>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</si>
  <si>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</si>
  <si>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</si>
  <si>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</si>
  <si>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</si>
  <si>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</si>
  <si>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</si>
  <si>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</si>
  <si>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</si>
  <si>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</si>
  <si>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</si>
  <si>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</si>
  <si>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</si>
  <si>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</si>
  <si>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</si>
  <si>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</si>
  <si>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</si>
  <si>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</si>
  <si>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</si>
  <si>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</si>
  <si>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</si>
  <si>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</si>
  <si>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</si>
  <si>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</si>
  <si>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</si>
  <si>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</si>
  <si>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</si>
  <si>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</si>
  <si>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</si>
  <si>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</si>
  <si>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</si>
  <si>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</si>
  <si>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</si>
  <si>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</si>
  <si>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</si>
  <si>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</si>
  <si>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</si>
  <si>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</si>
  <si>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</si>
  <si>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</si>
  <si>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</si>
  <si>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</si>
  <si>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</si>
  <si>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</si>
  <si>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</si>
  <si>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</si>
  <si>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</si>
  <si>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</si>
  <si>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</si>
  <si>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</si>
  <si>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</si>
  <si>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</si>
  <si>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</si>
  <si>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</si>
  <si>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</si>
  <si>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</si>
  <si>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</si>
  <si>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</si>
  <si>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</si>
  <si>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</si>
  <si>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</si>
  <si>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</si>
  <si>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</si>
  <si>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</si>
  <si>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</si>
  <si>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</si>
  <si>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</si>
  <si>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</si>
  <si>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</si>
  <si>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</si>
  <si>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</si>
  <si>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</si>
  <si>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</si>
  <si>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</si>
  <si>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</si>
  <si>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</si>
  <si>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</si>
  <si>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</si>
  <si>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</si>
  <si>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</si>
  <si>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</si>
  <si>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</si>
  <si>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</si>
  <si>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</si>
  <si>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</si>
  <si>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</si>
  <si>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</si>
  <si>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</si>
  <si>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</si>
  <si>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</si>
  <si>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</si>
  <si>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</si>
  <si>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</si>
  <si>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</si>
  <si>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</si>
  <si>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</si>
  <si>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</si>
  <si>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</si>
  <si>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</si>
  <si>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</si>
  <si>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</si>
  <si>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</si>
  <si>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</si>
  <si>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</si>
  <si>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</si>
  <si>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</si>
  <si>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</si>
  <si>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</si>
  <si>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</si>
  <si>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</si>
  <si>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</si>
  <si>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</si>
  <si>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</si>
  <si>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</si>
  <si>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</si>
  <si>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</si>
  <si>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</si>
  <si>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</si>
  <si>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</si>
  <si>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</si>
  <si>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</si>
  <si>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</si>
  <si>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</si>
  <si>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</si>
  <si>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</si>
  <si>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</si>
  <si>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</si>
  <si>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</si>
  <si>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</si>
  <si>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</si>
  <si>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</si>
  <si>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</si>
  <si>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</si>
  <si>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</si>
  <si>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</si>
  <si>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</si>
  <si>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</si>
  <si>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</si>
  <si>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</si>
  <si>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</si>
  <si>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</si>
  <si>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</si>
  <si>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</si>
  <si>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</si>
  <si>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</si>
  <si>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</si>
  <si>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</si>
  <si>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</si>
  <si>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</si>
  <si>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</si>
  <si>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</si>
  <si>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</si>
  <si>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</si>
  <si>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</si>
  <si>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</si>
  <si>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</si>
  <si>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</si>
  <si>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</si>
  <si>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</si>
  <si>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</si>
  <si>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</si>
  <si>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</si>
  <si>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</si>
  <si>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</si>
  <si>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</si>
  <si>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</si>
  <si>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</si>
  <si>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</si>
  <si>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</si>
  <si>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</si>
  <si>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</si>
  <si>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</si>
  <si>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</si>
  <si>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</si>
  <si>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</si>
  <si>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</si>
  <si>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</si>
  <si>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</si>
  <si>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</si>
  <si>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</si>
  <si>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</si>
  <si>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</si>
  <si>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</si>
  <si>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</si>
  <si>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</si>
  <si>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</si>
  <si>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</si>
  <si>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</si>
  <si>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</si>
  <si>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</si>
  <si>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</si>
  <si>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</si>
  <si>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</si>
  <si>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</si>
  <si>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</si>
  <si>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</si>
  <si>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</si>
  <si>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</si>
  <si>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</si>
  <si>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</si>
  <si>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</si>
  <si>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</si>
  <si>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</si>
  <si>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</si>
  <si>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</si>
  <si>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</si>
  <si>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</si>
  <si>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</si>
  <si>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</si>
  <si>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</si>
  <si>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</si>
  <si>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</si>
  <si>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</si>
  <si>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</si>
  <si>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</si>
  <si>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</si>
  <si>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</si>
  <si>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</si>
  <si>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</si>
  <si>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</si>
  <si>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</si>
  <si>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</si>
  <si>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</si>
  <si>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</si>
  <si>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</si>
  <si>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</si>
  <si>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</si>
  <si>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</si>
  <si>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</si>
  <si>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</si>
  <si>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</si>
  <si>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</si>
  <si>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</si>
  <si>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</si>
  <si>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</si>
  <si>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</si>
  <si>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</si>
  <si>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</si>
  <si>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</si>
  <si>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</si>
  <si>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</si>
  <si>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</si>
  <si>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</si>
  <si>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</si>
  <si>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</si>
  <si>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</si>
  <si>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</si>
  <si>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</si>
  <si>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</si>
  <si>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</si>
  <si>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</si>
  <si>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</si>
  <si>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</si>
  <si>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</si>
  <si>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</si>
  <si>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</si>
  <si>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</si>
  <si>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</si>
  <si>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</si>
  <si>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</si>
  <si>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</si>
  <si>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</si>
  <si>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</si>
  <si>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</si>
  <si>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</si>
  <si>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</si>
  <si>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</si>
  <si>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</si>
  <si>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</si>
  <si>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</si>
  <si>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</si>
  <si>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</si>
  <si>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</si>
  <si>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</si>
  <si>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</si>
  <si>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</si>
  <si>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</si>
  <si>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</si>
  <si>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</si>
  <si>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</si>
  <si>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</si>
  <si>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</si>
  <si>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</si>
  <si>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</si>
  <si>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</si>
  <si>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</si>
  <si>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</si>
  <si>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</si>
  <si>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</si>
  <si>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</si>
  <si>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</si>
  <si>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</si>
  <si>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</si>
  <si>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</si>
  <si>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</si>
  <si>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</si>
  <si>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</si>
  <si>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</si>
  <si>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</si>
  <si>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</si>
  <si>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</si>
  <si>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</si>
  <si>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</si>
  <si>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</si>
  <si>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</si>
  <si>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</si>
  <si>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</si>
  <si>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</si>
  <si>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</si>
  <si>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</si>
  <si>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</si>
  <si>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</si>
  <si>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</si>
  <si>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</si>
  <si>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</si>
  <si>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</si>
  <si>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</si>
  <si>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</si>
  <si>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</si>
  <si>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</si>
  <si>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</si>
  <si>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</si>
  <si>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</si>
  <si>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</si>
  <si>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</si>
  <si>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</si>
  <si>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</si>
  <si>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</si>
  <si>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</si>
  <si>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</si>
  <si>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</si>
  <si>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</si>
  <si>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</si>
  <si>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</si>
  <si>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</si>
  <si>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</si>
  <si>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</si>
  <si>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</si>
  <si>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</si>
  <si>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</si>
  <si>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</si>
  <si>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</si>
  <si>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</si>
  <si>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</si>
  <si>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</si>
  <si>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</si>
  <si>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</si>
  <si>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</si>
  <si>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</si>
  <si>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</si>
  <si>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</si>
  <si>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</si>
  <si>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</si>
  <si>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</si>
  <si>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</si>
  <si>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</si>
  <si>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</si>
  <si>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</si>
  <si>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</si>
  <si>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</si>
  <si>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</si>
  <si>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</si>
  <si>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</si>
  <si>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</si>
  <si>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</si>
  <si>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</si>
  <si>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</si>
  <si>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</si>
  <si>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</si>
  <si>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</si>
  <si>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</si>
  <si>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</si>
  <si>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</si>
  <si>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</si>
  <si>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</si>
  <si>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</si>
  <si>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</si>
  <si>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</si>
  <si>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</si>
  <si>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</si>
  <si>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</si>
  <si>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</si>
  <si>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</si>
  <si>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</si>
  <si>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</si>
  <si>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</si>
  <si>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</si>
  <si>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</si>
  <si>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</si>
  <si>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</si>
  <si>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</si>
  <si>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</si>
  <si>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</si>
  <si>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</si>
  <si>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</si>
  <si>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</si>
  <si>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</si>
  <si>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</si>
  <si>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</si>
  <si>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</si>
  <si>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</si>
  <si>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</si>
  <si>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</si>
  <si>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</si>
  <si>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</si>
  <si>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</si>
  <si>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</si>
  <si>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</si>
  <si>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</si>
  <si>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</si>
  <si>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</si>
  <si>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</si>
  <si>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</si>
  <si>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</si>
  <si>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</si>
  <si>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</si>
  <si>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</si>
  <si>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</si>
  <si>
    <t>%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</si>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</sst>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  <font>
      <b/>
      <sz val="9"/>
      <color theme="0" tint="-0.249977111117893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theme="0" tint="-0.249977111117893"/>
      <name val="Arial"/>
      <family val="2"/>
    </font>
    <font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0" fontId="0" fillId="0" borderId="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9" fillId="0" borderId="1" xfId="0" applyFont="1" applyBorder="1" applyAlignment="1">
      <alignment vertical="center" wrapText="1"/>
    </xf>
    <xf numFmtId="1" fontId="12" fillId="0" borderId="4" xfId="0" applyNumberFormat="1" applyFont="1" applyBorder="1" applyAlignment="1">
      <alignment vertical="top" wrapText="1"/>
    </xf>
    <xf numFmtId="1" fontId="9" fillId="0" borderId="4" xfId="0" applyNumberFormat="1" applyFont="1" applyBorder="1" applyAlignment="1">
      <alignment vertical="top" wrapText="1"/>
    </xf>
    <xf numFmtId="1" fontId="12" fillId="0" borderId="7" xfId="0" applyNumberFormat="1" applyFont="1" applyBorder="1" applyAlignment="1">
      <alignment vertical="top" wrapText="1"/>
    </xf>
    <xf numFmtId="0" fontId="18" fillId="4" borderId="1" xfId="0" applyFont="1" applyFill="1" applyBorder="1" applyAlignment="1">
      <alignment horizontal="center" vertical="top" wrapText="1"/>
    </xf>
    <xf numFmtId="0" fontId="19" fillId="4" borderId="1" xfId="0" applyFont="1" applyFill="1" applyBorder="1" applyAlignment="1">
      <alignment horizontal="center" vertical="top" wrapText="1"/>
    </xf>
    <xf numFmtId="0" fontId="18" fillId="4" borderId="1" xfId="0" applyFont="1" applyFill="1" applyBorder="1" applyAlignment="1">
      <alignment horizontal="left" wrapText="1"/>
    </xf>
    <xf numFmtId="1" fontId="20" fillId="4" borderId="4" xfId="0" applyNumberFormat="1" applyFont="1" applyFill="1" applyBorder="1" applyAlignment="1">
      <alignment vertical="top" wrapText="1"/>
    </xf>
    <xf numFmtId="0" fontId="21" fillId="4" borderId="1" xfId="0" applyFont="1" applyFill="1" applyBorder="1" applyAlignment="1">
      <alignment vertical="center" wrapText="1"/>
    </xf>
    <xf numFmtId="0" fontId="22" fillId="0" borderId="1" xfId="0" applyFont="1" applyBorder="1" applyAlignment="1">
      <alignment horizontal="center" wrapText="1"/>
    </xf>
    <xf numFmtId="49" fontId="8" fillId="6" borderId="1" xfId="0" applyNumberFormat="1" applyFont="1" applyFill="1" applyBorder="1" applyAlignment="1">
      <alignment horizontal="center" vertical="top" wrapText="1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  <xf numFmtId="0" fontId="12" fillId="0" borderId="4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Dados!$B$2:$B$11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Declaração Orçamentária</c:v>
                </c:pt>
                <c:pt idx="6">
                  <c:v>Enviado ao Administrativo</c:v>
                </c:pt>
                <c:pt idx="7">
                  <c:v>Concluído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Dados!$D$2:$D$11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1</c:v>
                </c:pt>
                <c:pt idx="6">
                  <c:v>28</c:v>
                </c:pt>
                <c:pt idx="7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13720"/>
        <c:axId val="295714896"/>
      </c:barChart>
      <c:catAx>
        <c:axId val="295713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4896"/>
        <c:crosses val="autoZero"/>
        <c:auto val="1"/>
        <c:lblAlgn val="ctr"/>
        <c:lblOffset val="100"/>
        <c:noMultiLvlLbl val="0"/>
      </c:catAx>
      <c:valAx>
        <c:axId val="2957148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295713720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47C-4F2A-BC67-1E6AD1C215D3}"/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C-4F2A-BC67-1E6AD1C215D3}"/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47C-4F2A-BC67-1E6AD1C215D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7C-4F2A-BC67-1E6AD1C215D3}"/>
                </c:ext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47C-4F2A-BC67-1E6AD1C215D3}"/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47C-4F2A-BC67-1E6AD1C215D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47C-4F2A-BC67-1E6AD1C21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51</c:v>
                </c:pt>
                <c:pt idx="1">
                  <c:v>29</c:v>
                </c:pt>
                <c:pt idx="2">
                  <c:v>26</c:v>
                </c:pt>
                <c:pt idx="3">
                  <c:v>0</c:v>
                </c:pt>
                <c:pt idx="4">
                  <c:v>58</c:v>
                </c:pt>
                <c:pt idx="5">
                  <c:v>98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Dados!$I$1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C8-4039-A5E0-4B088923C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Dados!$H$2:$H$8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Dados!$I$2:$I$8</c:f>
              <c:numCache>
                <c:formatCode>General</c:formatCode>
                <c:ptCount val="7"/>
                <c:pt idx="0">
                  <c:v>51</c:v>
                </c:pt>
                <c:pt idx="1">
                  <c:v>29</c:v>
                </c:pt>
                <c:pt idx="2">
                  <c:v>26</c:v>
                </c:pt>
                <c:pt idx="3">
                  <c:v>0</c:v>
                </c:pt>
                <c:pt idx="4">
                  <c:v>58</c:v>
                </c:pt>
                <c:pt idx="5">
                  <c:v>98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7620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1668780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830580</xdr:colOff>
          <xdr:row>3</xdr:row>
          <xdr:rowOff>22860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556260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</xdr:row>
          <xdr:rowOff>0</xdr:rowOff>
        </xdr:from>
        <xdr:to>
          <xdr:col>5</xdr:col>
          <xdr:colOff>769620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0</xdr:rowOff>
        </xdr:from>
        <xdr:to>
          <xdr:col>6</xdr:col>
          <xdr:colOff>1836420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22860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914400</xdr:rowOff>
        </xdr:from>
        <xdr:to>
          <xdr:col>7</xdr:col>
          <xdr:colOff>1440180</xdr:colOff>
          <xdr:row>1</xdr:row>
          <xdr:rowOff>1127760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0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716280</xdr:rowOff>
        </xdr:from>
        <xdr:to>
          <xdr:col>8</xdr:col>
          <xdr:colOff>0</xdr:colOff>
          <xdr:row>1</xdr:row>
          <xdr:rowOff>899160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0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38100</xdr:rowOff>
        </xdr:from>
        <xdr:to>
          <xdr:col>7</xdr:col>
          <xdr:colOff>685800</xdr:colOff>
          <xdr:row>1</xdr:row>
          <xdr:rowOff>236220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0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251460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0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71437</xdr:rowOff>
    </xdr:from>
    <xdr:to>
      <xdr:col>15</xdr:col>
      <xdr:colOff>304800</xdr:colOff>
      <xdr:row>15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K285"/>
  <sheetViews>
    <sheetView tabSelected="1" zoomScaleNormal="100" workbookViewId="0">
      <pane ySplit="4" topLeftCell="A5" activePane="bottomLeft" state="frozen"/>
      <selection pane="bottomLeft" activeCell="D42" sqref="D42"/>
    </sheetView>
  </sheetViews>
  <sheetFormatPr defaultColWidth="9.109375" defaultRowHeight="11.4" x14ac:dyDescent="0.2"/>
  <cols>
    <col min="1" max="1" width="11.109375" style="79" customWidth="1"/>
    <col min="2" max="2" width="27.5546875" style="79" customWidth="1"/>
    <col min="3" max="3" width="24.6640625" style="79" customWidth="1"/>
    <col min="4" max="4" width="12.44140625" style="80" customWidth="1"/>
    <col min="5" max="5" width="8.5546875" style="81" customWidth="1"/>
    <col min="6" max="6" width="11.88671875" style="82" customWidth="1"/>
    <col min="7" max="7" width="27.77734375" style="89" customWidth="1"/>
    <col min="8" max="8" width="19.6640625" style="79" customWidth="1"/>
    <col min="9" max="9" width="3" style="83" customWidth="1"/>
    <col min="10" max="10" width="4" style="54" bestFit="1" customWidth="1"/>
    <col min="11" max="11" width="25.6640625" style="54" bestFit="1" customWidth="1"/>
    <col min="12" max="12" width="4.109375" style="54" bestFit="1" customWidth="1"/>
    <col min="13" max="16384" width="9.109375" style="54"/>
  </cols>
  <sheetData>
    <row r="1" spans="1:11" ht="10.5" customHeight="1" x14ac:dyDescent="0.25">
      <c r="A1" s="125"/>
      <c r="B1" s="125"/>
      <c r="C1" s="125"/>
      <c r="D1" s="125"/>
      <c r="E1" s="125"/>
      <c r="F1" s="125"/>
      <c r="G1" s="125"/>
      <c r="H1" s="125"/>
      <c r="I1" s="126"/>
    </row>
    <row r="2" spans="1:11" ht="101.25" customHeight="1" x14ac:dyDescent="0.25">
      <c r="A2" s="60"/>
      <c r="B2" s="60"/>
      <c r="C2" s="60"/>
      <c r="D2" s="61"/>
      <c r="E2" s="62"/>
      <c r="F2" s="63"/>
      <c r="G2" s="122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57
Processos ativos: 282
  Prorrogações: 51
  Repactuações: 29
  Alterações: 26
  Formalizações: 156
  Reequilíbrios: 0
  Rescisões: 2</v>
      </c>
      <c r="H2" s="123"/>
      <c r="I2" s="124"/>
    </row>
    <row r="3" spans="1:11" ht="18" customHeight="1" x14ac:dyDescent="0.25">
      <c r="A3" s="64"/>
      <c r="B3" s="64"/>
      <c r="C3" s="64"/>
      <c r="D3" s="64"/>
      <c r="E3" s="64"/>
      <c r="F3" s="64"/>
      <c r="G3" s="84"/>
      <c r="H3" s="65"/>
      <c r="I3" s="66"/>
    </row>
    <row r="4" spans="1:11" ht="12.75" customHeight="1" x14ac:dyDescent="0.25">
      <c r="A4" s="67" t="s">
        <v>372</v>
      </c>
      <c r="B4" s="67" t="s">
        <v>376</v>
      </c>
      <c r="C4" s="67" t="s">
        <v>377</v>
      </c>
      <c r="D4" s="68" t="s">
        <v>427</v>
      </c>
      <c r="E4" s="67" t="s">
        <v>378</v>
      </c>
      <c r="F4" s="67" t="s">
        <v>375</v>
      </c>
      <c r="G4" s="85" t="s">
        <v>373</v>
      </c>
      <c r="H4" s="121" t="s">
        <v>356</v>
      </c>
      <c r="I4" s="141" t="s">
        <v>1349</v>
      </c>
      <c r="J4" s="142" t="s">
        <v>1349</v>
      </c>
    </row>
    <row r="5" spans="1:11" ht="12.75" hidden="1" customHeight="1" x14ac:dyDescent="0.25">
      <c r="A5" s="115" t="str">
        <f>Dados!B2</f>
        <v>Instrução inicial</v>
      </c>
      <c r="B5" s="115" t="str">
        <f>Dados!B3</f>
        <v>Elaboração de minutas</v>
      </c>
      <c r="C5" s="115" t="str">
        <f>Dados!B4</f>
        <v>Chefia da DIVCON</v>
      </c>
      <c r="D5" s="116" t="str">
        <f>Dados!B5</f>
        <v>Diligências no requisitante</v>
      </c>
      <c r="E5" s="115" t="str">
        <f>Dados!B6</f>
        <v>Enviado à ASJUR</v>
      </c>
      <c r="F5" s="115" t="str">
        <f>Dados!B7</f>
        <v>Análise pós ASJUR</v>
      </c>
      <c r="G5" s="117" t="str">
        <f>Dados!B8</f>
        <v>Enviado ao DAL</v>
      </c>
      <c r="H5" s="115" t="str">
        <f>Dados!B9</f>
        <v>Declaração Orçamentária</v>
      </c>
      <c r="I5" s="118" t="str">
        <f>Dados!B10</f>
        <v>Enviado ao Administrativo</v>
      </c>
      <c r="J5" s="119" t="str">
        <f>Dados!B11</f>
        <v>Concluído</v>
      </c>
    </row>
    <row r="6" spans="1:11" ht="57" hidden="1" x14ac:dyDescent="0.2">
      <c r="A6" s="69" t="s">
        <v>39</v>
      </c>
      <c r="B6" s="70" t="s">
        <v>59</v>
      </c>
      <c r="C6" s="70" t="s">
        <v>60</v>
      </c>
      <c r="D6" s="71" t="s">
        <v>61</v>
      </c>
      <c r="E6" s="69" t="s">
        <v>358</v>
      </c>
      <c r="F6" s="72" t="s">
        <v>379</v>
      </c>
      <c r="G6" s="86" t="s">
        <v>385</v>
      </c>
      <c r="H6" s="69" t="s">
        <v>370</v>
      </c>
      <c r="I6" s="113">
        <f>VLOOKUP(H6,Dados!$B$2:$C$50,2,0)</f>
        <v>10</v>
      </c>
      <c r="J6" s="111">
        <f>VLOOKUP(H6,Dados!$B$2:$E$50,4,0)</f>
        <v>98</v>
      </c>
    </row>
    <row r="7" spans="1:11" ht="45.6" hidden="1" x14ac:dyDescent="0.2">
      <c r="A7" s="69" t="s">
        <v>10</v>
      </c>
      <c r="B7" s="70" t="s">
        <v>64</v>
      </c>
      <c r="C7" s="70" t="s">
        <v>65</v>
      </c>
      <c r="D7" s="71" t="s">
        <v>66</v>
      </c>
      <c r="E7" s="69" t="s">
        <v>67</v>
      </c>
      <c r="F7" s="72" t="s">
        <v>379</v>
      </c>
      <c r="G7" s="86" t="s">
        <v>490</v>
      </c>
      <c r="H7" s="69" t="s">
        <v>370</v>
      </c>
      <c r="I7" s="112">
        <f>VLOOKUP(H7,Dados!$B$2:$C$50,2,0)</f>
        <v>10</v>
      </c>
      <c r="J7" s="111">
        <f>VLOOKUP(H7,Dados!$B$2:$E$50,4,0)</f>
        <v>98</v>
      </c>
    </row>
    <row r="8" spans="1:11" ht="68.400000000000006" hidden="1" x14ac:dyDescent="0.2">
      <c r="A8" s="69" t="s">
        <v>17</v>
      </c>
      <c r="B8" s="70" t="s">
        <v>69</v>
      </c>
      <c r="C8" s="70" t="s">
        <v>70</v>
      </c>
      <c r="D8" s="71" t="s">
        <v>71</v>
      </c>
      <c r="E8" s="69" t="s">
        <v>72</v>
      </c>
      <c r="F8" s="72" t="s">
        <v>379</v>
      </c>
      <c r="G8" s="86" t="s">
        <v>389</v>
      </c>
      <c r="H8" s="69" t="s">
        <v>370</v>
      </c>
      <c r="I8" s="113">
        <f>VLOOKUP(H8,Dados!$B$2:$C$50,2,0)</f>
        <v>10</v>
      </c>
      <c r="J8" s="111">
        <f>VLOOKUP(H8,Dados!$B$2:$E$50,4,0)</f>
        <v>98</v>
      </c>
    </row>
    <row r="9" spans="1:11" ht="68.400000000000006" hidden="1" x14ac:dyDescent="0.2">
      <c r="A9" s="69" t="s">
        <v>39</v>
      </c>
      <c r="B9" s="70" t="s">
        <v>83</v>
      </c>
      <c r="C9" s="70" t="s">
        <v>84</v>
      </c>
      <c r="D9" s="71"/>
      <c r="E9" s="69" t="s">
        <v>86</v>
      </c>
      <c r="F9" s="72" t="s">
        <v>379</v>
      </c>
      <c r="G9" s="86" t="s">
        <v>390</v>
      </c>
      <c r="H9" s="69" t="s">
        <v>430</v>
      </c>
      <c r="I9" s="113">
        <f>VLOOKUP(H9,Dados!$B$2:$C$50,2,0)</f>
        <v>10</v>
      </c>
      <c r="J9" s="111">
        <f>VLOOKUP(H9,Dados!$B$2:$E$50,4,0)</f>
        <v>98</v>
      </c>
    </row>
    <row r="10" spans="1:11" ht="79.8" hidden="1" x14ac:dyDescent="0.2">
      <c r="A10" s="69" t="s">
        <v>58</v>
      </c>
      <c r="B10" s="70" t="s">
        <v>95</v>
      </c>
      <c r="C10" s="70" t="s">
        <v>96</v>
      </c>
      <c r="D10" s="71" t="s">
        <v>97</v>
      </c>
      <c r="E10" s="69" t="s">
        <v>86</v>
      </c>
      <c r="F10" s="72" t="s">
        <v>379</v>
      </c>
      <c r="G10" s="86" t="s">
        <v>391</v>
      </c>
      <c r="H10" s="69" t="s">
        <v>370</v>
      </c>
      <c r="I10" s="113">
        <f>VLOOKUP(H10,Dados!$B$2:$C$50,2,0)</f>
        <v>10</v>
      </c>
      <c r="J10" s="111">
        <f>VLOOKUP(H10,Dados!$B$2:$E$50,4,0)</f>
        <v>98</v>
      </c>
    </row>
    <row r="11" spans="1:11" ht="57" hidden="1" x14ac:dyDescent="0.2">
      <c r="A11" s="69" t="s">
        <v>10</v>
      </c>
      <c r="B11" s="73" t="s">
        <v>104</v>
      </c>
      <c r="C11" s="70" t="s">
        <v>105</v>
      </c>
      <c r="D11" s="71" t="s">
        <v>106</v>
      </c>
      <c r="E11" s="69" t="s">
        <v>43</v>
      </c>
      <c r="F11" s="72" t="s">
        <v>379</v>
      </c>
      <c r="G11" s="86" t="s">
        <v>439</v>
      </c>
      <c r="H11" s="69" t="s">
        <v>370</v>
      </c>
      <c r="I11" s="112">
        <f>VLOOKUP(H11,Dados!$B$2:$C$50,2,0)</f>
        <v>10</v>
      </c>
      <c r="J11" s="111">
        <f>VLOOKUP(H11,Dados!$B$2:$E$50,4,0)</f>
        <v>98</v>
      </c>
    </row>
    <row r="12" spans="1:11" ht="13.95" customHeight="1" x14ac:dyDescent="0.2">
      <c r="A12" s="69" t="s">
        <v>17</v>
      </c>
      <c r="B12" s="70" t="s">
        <v>119</v>
      </c>
      <c r="C12" s="70" t="s">
        <v>584</v>
      </c>
      <c r="D12" s="71"/>
      <c r="E12" s="69"/>
      <c r="F12" s="72" t="s">
        <v>379</v>
      </c>
      <c r="G12" s="86" t="s">
        <v>383</v>
      </c>
      <c r="H12" s="69" t="s">
        <v>362</v>
      </c>
      <c r="I12" s="112">
        <f>VLOOKUP(H12,Dados!$B$2:$C$50,2,0)</f>
        <v>1</v>
      </c>
      <c r="J12" s="111">
        <f>VLOOKUP(H12,Dados!$B$2:$E$50,4,0)</f>
        <v>8</v>
      </c>
    </row>
    <row r="13" spans="1:11" ht="57" hidden="1" x14ac:dyDescent="0.2">
      <c r="A13" s="69" t="s">
        <v>58</v>
      </c>
      <c r="B13" s="70" t="s">
        <v>120</v>
      </c>
      <c r="C13" s="70" t="s">
        <v>84</v>
      </c>
      <c r="D13" s="71" t="s">
        <v>121</v>
      </c>
      <c r="E13" s="69" t="s">
        <v>122</v>
      </c>
      <c r="F13" s="72" t="s">
        <v>379</v>
      </c>
      <c r="G13" s="86" t="s">
        <v>384</v>
      </c>
      <c r="H13" s="69" t="s">
        <v>370</v>
      </c>
      <c r="I13" s="112">
        <f>VLOOKUP(H13,Dados!$B$2:$C$50,2,0)</f>
        <v>10</v>
      </c>
      <c r="J13" s="111">
        <f>VLOOKUP(H13,Dados!$B$2:$E$50,4,0)</f>
        <v>98</v>
      </c>
      <c r="K13" s="59"/>
    </row>
    <row r="14" spans="1:11" ht="68.400000000000006" hidden="1" x14ac:dyDescent="0.2">
      <c r="A14" s="69" t="s">
        <v>39</v>
      </c>
      <c r="B14" s="70" t="s">
        <v>124</v>
      </c>
      <c r="C14" s="70" t="s">
        <v>125</v>
      </c>
      <c r="D14" s="71" t="s">
        <v>126</v>
      </c>
      <c r="E14" s="69" t="s">
        <v>127</v>
      </c>
      <c r="F14" s="72" t="s">
        <v>379</v>
      </c>
      <c r="G14" s="86" t="s">
        <v>442</v>
      </c>
      <c r="H14" s="69" t="s">
        <v>370</v>
      </c>
      <c r="I14" s="112">
        <f>VLOOKUP(H14,Dados!$B$2:$C$50,2,0)</f>
        <v>10</v>
      </c>
      <c r="J14" s="111">
        <f>VLOOKUP(H14,Dados!$B$2:$E$50,4,0)</f>
        <v>98</v>
      </c>
      <c r="K14" s="55"/>
    </row>
    <row r="15" spans="1:11" ht="68.400000000000006" hidden="1" x14ac:dyDescent="0.2">
      <c r="A15" s="69" t="s">
        <v>10</v>
      </c>
      <c r="B15" s="70" t="s">
        <v>129</v>
      </c>
      <c r="C15" s="70" t="s">
        <v>130</v>
      </c>
      <c r="D15" s="71" t="s">
        <v>131</v>
      </c>
      <c r="E15" s="69" t="s">
        <v>132</v>
      </c>
      <c r="F15" s="72" t="s">
        <v>379</v>
      </c>
      <c r="G15" s="86" t="s">
        <v>432</v>
      </c>
      <c r="H15" s="69" t="s">
        <v>370</v>
      </c>
      <c r="I15" s="112">
        <f>VLOOKUP(H15,Dados!$B$2:$C$50,2,0)</f>
        <v>10</v>
      </c>
      <c r="J15" s="111">
        <f>VLOOKUP(H15,Dados!$B$2:$E$50,4,0)</f>
        <v>98</v>
      </c>
      <c r="K15" s="55"/>
    </row>
    <row r="16" spans="1:11" ht="57" hidden="1" x14ac:dyDescent="0.2">
      <c r="A16" s="69" t="s">
        <v>39</v>
      </c>
      <c r="B16" s="70" t="s">
        <v>146</v>
      </c>
      <c r="C16" s="74" t="s">
        <v>147</v>
      </c>
      <c r="D16" s="71" t="s">
        <v>148</v>
      </c>
      <c r="E16" s="69" t="s">
        <v>16</v>
      </c>
      <c r="F16" s="72" t="s">
        <v>379</v>
      </c>
      <c r="G16" s="86" t="s">
        <v>392</v>
      </c>
      <c r="H16" s="69" t="s">
        <v>370</v>
      </c>
      <c r="I16" s="113">
        <f>VLOOKUP(H16,Dados!$B$2:$C$50,2,0)</f>
        <v>10</v>
      </c>
      <c r="J16" s="111">
        <f>VLOOKUP(H16,Dados!$B$2:$E$50,4,0)</f>
        <v>98</v>
      </c>
    </row>
    <row r="17" spans="1:10" ht="68.400000000000006" hidden="1" x14ac:dyDescent="0.2">
      <c r="A17" s="69" t="s">
        <v>10</v>
      </c>
      <c r="B17" s="70" t="s">
        <v>11</v>
      </c>
      <c r="C17" s="70" t="s">
        <v>150</v>
      </c>
      <c r="D17" s="71" t="s">
        <v>151</v>
      </c>
      <c r="E17" s="69" t="s">
        <v>8</v>
      </c>
      <c r="F17" s="72" t="s">
        <v>379</v>
      </c>
      <c r="G17" s="86" t="s">
        <v>433</v>
      </c>
      <c r="H17" s="69" t="s">
        <v>370</v>
      </c>
      <c r="I17" s="112">
        <f>VLOOKUP(H17,Dados!$B$2:$C$50,2,0)</f>
        <v>10</v>
      </c>
      <c r="J17" s="111">
        <f>VLOOKUP(H17,Dados!$B$2:$E$50,4,0)</f>
        <v>98</v>
      </c>
    </row>
    <row r="18" spans="1:10" ht="57" hidden="1" x14ac:dyDescent="0.2">
      <c r="A18" s="69" t="s">
        <v>58</v>
      </c>
      <c r="B18" s="70" t="s">
        <v>156</v>
      </c>
      <c r="C18" s="70" t="s">
        <v>157</v>
      </c>
      <c r="D18" s="71" t="s">
        <v>1217</v>
      </c>
      <c r="E18" s="69" t="s">
        <v>67</v>
      </c>
      <c r="F18" s="72" t="s">
        <v>379</v>
      </c>
      <c r="G18" s="86" t="s">
        <v>612</v>
      </c>
      <c r="H18" s="69" t="s">
        <v>370</v>
      </c>
      <c r="I18" s="112">
        <f>VLOOKUP(H18,Dados!$B$2:$C$50,2,0)</f>
        <v>10</v>
      </c>
      <c r="J18" s="111">
        <f>VLOOKUP(H18,Dados!$B$2:$E$50,4,0)</f>
        <v>98</v>
      </c>
    </row>
    <row r="19" spans="1:10" ht="45.6" hidden="1" x14ac:dyDescent="0.2">
      <c r="A19" s="69" t="s">
        <v>39</v>
      </c>
      <c r="B19" s="70" t="s">
        <v>160</v>
      </c>
      <c r="C19" s="70" t="s">
        <v>161</v>
      </c>
      <c r="D19" s="71"/>
      <c r="E19" s="69"/>
      <c r="F19" s="72" t="s">
        <v>379</v>
      </c>
      <c r="G19" s="87" t="s">
        <v>443</v>
      </c>
      <c r="H19" s="69" t="s">
        <v>370</v>
      </c>
      <c r="I19" s="112">
        <f>VLOOKUP(H19,Dados!$B$2:$C$50,2,0)</f>
        <v>10</v>
      </c>
      <c r="J19" s="111">
        <f>VLOOKUP(H19,Dados!$B$2:$E$50,4,0)</f>
        <v>98</v>
      </c>
    </row>
    <row r="20" spans="1:10" ht="102.6" hidden="1" x14ac:dyDescent="0.2">
      <c r="A20" s="69" t="s">
        <v>10</v>
      </c>
      <c r="B20" s="70" t="s">
        <v>162</v>
      </c>
      <c r="C20" s="70" t="s">
        <v>84</v>
      </c>
      <c r="D20" s="71" t="s">
        <v>1082</v>
      </c>
      <c r="E20" s="69" t="s">
        <v>164</v>
      </c>
      <c r="F20" s="72" t="s">
        <v>379</v>
      </c>
      <c r="G20" s="86" t="s">
        <v>1238</v>
      </c>
      <c r="H20" s="69" t="s">
        <v>370</v>
      </c>
      <c r="I20" s="112">
        <f>VLOOKUP(H20,Dados!$B$2:$C$50,2,0)</f>
        <v>10</v>
      </c>
      <c r="J20" s="111">
        <f>VLOOKUP(H20,Dados!$B$2:$E$50,4,0)</f>
        <v>98</v>
      </c>
    </row>
    <row r="21" spans="1:10" ht="125.4" hidden="1" x14ac:dyDescent="0.2">
      <c r="A21" s="69" t="s">
        <v>58</v>
      </c>
      <c r="B21" s="70" t="s">
        <v>174</v>
      </c>
      <c r="C21" s="70" t="s">
        <v>84</v>
      </c>
      <c r="D21" s="71" t="s">
        <v>175</v>
      </c>
      <c r="E21" s="69" t="s">
        <v>127</v>
      </c>
      <c r="F21" s="72" t="s">
        <v>379</v>
      </c>
      <c r="G21" s="86" t="s">
        <v>754</v>
      </c>
      <c r="H21" s="69" t="s">
        <v>370</v>
      </c>
      <c r="I21" s="112">
        <f>VLOOKUP(H21,Dados!$B$2:$C$50,2,0)</f>
        <v>10</v>
      </c>
      <c r="J21" s="111">
        <f>VLOOKUP(H21,Dados!$B$2:$E$50,4,0)</f>
        <v>98</v>
      </c>
    </row>
    <row r="22" spans="1:10" ht="68.400000000000006" hidden="1" x14ac:dyDescent="0.2">
      <c r="A22" s="69" t="s">
        <v>39</v>
      </c>
      <c r="B22" s="70" t="s">
        <v>180</v>
      </c>
      <c r="C22" s="70" t="s">
        <v>181</v>
      </c>
      <c r="D22" s="71" t="s">
        <v>182</v>
      </c>
      <c r="E22" s="69" t="s">
        <v>86</v>
      </c>
      <c r="F22" s="72" t="s">
        <v>379</v>
      </c>
      <c r="G22" s="86" t="s">
        <v>444</v>
      </c>
      <c r="H22" s="69" t="s">
        <v>370</v>
      </c>
      <c r="I22" s="112">
        <f>VLOOKUP(H22,Dados!$B$2:$C$50,2,0)</f>
        <v>10</v>
      </c>
      <c r="J22" s="111">
        <f>VLOOKUP(H22,Dados!$B$2:$E$50,4,0)</f>
        <v>98</v>
      </c>
    </row>
    <row r="23" spans="1:10" ht="57" hidden="1" x14ac:dyDescent="0.2">
      <c r="A23" s="69" t="s">
        <v>10</v>
      </c>
      <c r="B23" s="70" t="s">
        <v>435</v>
      </c>
      <c r="C23" s="70" t="s">
        <v>184</v>
      </c>
      <c r="D23" s="71" t="s">
        <v>185</v>
      </c>
      <c r="E23" s="69" t="s">
        <v>77</v>
      </c>
      <c r="F23" s="72" t="s">
        <v>379</v>
      </c>
      <c r="G23" s="86" t="s">
        <v>436</v>
      </c>
      <c r="H23" s="69" t="s">
        <v>370</v>
      </c>
      <c r="I23" s="112">
        <f>VLOOKUP(H23,Dados!$B$2:$C$50,2,0)</f>
        <v>10</v>
      </c>
      <c r="J23" s="111">
        <f>VLOOKUP(H23,Dados!$B$2:$E$50,4,0)</f>
        <v>98</v>
      </c>
    </row>
    <row r="24" spans="1:10" ht="34.200000000000003" hidden="1" x14ac:dyDescent="0.2">
      <c r="A24" s="69" t="s">
        <v>39</v>
      </c>
      <c r="B24" s="70" t="s">
        <v>142</v>
      </c>
      <c r="C24" s="70" t="s">
        <v>143</v>
      </c>
      <c r="D24" s="71" t="s">
        <v>190</v>
      </c>
      <c r="E24" s="69" t="s">
        <v>38</v>
      </c>
      <c r="F24" s="72" t="s">
        <v>379</v>
      </c>
      <c r="G24" s="86" t="s">
        <v>393</v>
      </c>
      <c r="H24" s="69" t="s">
        <v>370</v>
      </c>
      <c r="I24" s="113">
        <f>VLOOKUP(H24,Dados!$B$2:$C$50,2,0)</f>
        <v>10</v>
      </c>
      <c r="J24" s="111">
        <f>VLOOKUP(H24,Dados!$B$2:$E$50,4,0)</f>
        <v>98</v>
      </c>
    </row>
    <row r="25" spans="1:10" ht="136.80000000000001" hidden="1" x14ac:dyDescent="0.2">
      <c r="A25" s="69" t="s">
        <v>58</v>
      </c>
      <c r="B25" s="70" t="s">
        <v>207</v>
      </c>
      <c r="C25" s="70" t="s">
        <v>208</v>
      </c>
      <c r="D25" s="71" t="s">
        <v>209</v>
      </c>
      <c r="E25" s="69" t="s">
        <v>210</v>
      </c>
      <c r="F25" s="72" t="s">
        <v>379</v>
      </c>
      <c r="G25" s="86" t="s">
        <v>884</v>
      </c>
      <c r="H25" s="69" t="s">
        <v>370</v>
      </c>
      <c r="I25" s="112">
        <f>VLOOKUP(H25,Dados!$B$2:$C$50,2,0)</f>
        <v>10</v>
      </c>
      <c r="J25" s="111">
        <f>VLOOKUP(H25,Dados!$B$2:$E$50,4,0)</f>
        <v>98</v>
      </c>
    </row>
    <row r="26" spans="1:10" ht="182.4" hidden="1" x14ac:dyDescent="0.2">
      <c r="A26" s="69" t="s">
        <v>58</v>
      </c>
      <c r="B26" s="70" t="s">
        <v>219</v>
      </c>
      <c r="C26" s="70" t="s">
        <v>220</v>
      </c>
      <c r="D26" s="71" t="s">
        <v>221</v>
      </c>
      <c r="E26" s="69" t="s">
        <v>222</v>
      </c>
      <c r="F26" s="72" t="s">
        <v>379</v>
      </c>
      <c r="G26" s="86" t="s">
        <v>739</v>
      </c>
      <c r="H26" s="69" t="s">
        <v>370</v>
      </c>
      <c r="I26" s="113">
        <f>VLOOKUP(H26,Dados!$B$2:$C$50,2,0)</f>
        <v>10</v>
      </c>
      <c r="J26" s="111">
        <f>VLOOKUP(H26,Dados!$B$2:$E$50,4,0)</f>
        <v>98</v>
      </c>
    </row>
    <row r="27" spans="1:10" ht="68.400000000000006" hidden="1" x14ac:dyDescent="0.2">
      <c r="A27" s="69" t="s">
        <v>39</v>
      </c>
      <c r="B27" s="70" t="s">
        <v>224</v>
      </c>
      <c r="C27" s="70" t="s">
        <v>225</v>
      </c>
      <c r="D27" s="71" t="s">
        <v>226</v>
      </c>
      <c r="E27" s="69" t="s">
        <v>112</v>
      </c>
      <c r="F27" s="72" t="s">
        <v>379</v>
      </c>
      <c r="G27" s="86" t="s">
        <v>445</v>
      </c>
      <c r="H27" s="69" t="s">
        <v>370</v>
      </c>
      <c r="I27" s="112">
        <f>VLOOKUP(H27,Dados!$B$2:$C$50,2,0)</f>
        <v>10</v>
      </c>
      <c r="J27" s="111">
        <f>VLOOKUP(H27,Dados!$B$2:$E$50,4,0)</f>
        <v>98</v>
      </c>
    </row>
    <row r="28" spans="1:10" ht="68.400000000000006" hidden="1" x14ac:dyDescent="0.2">
      <c r="A28" s="69" t="s">
        <v>39</v>
      </c>
      <c r="B28" s="70" t="s">
        <v>230</v>
      </c>
      <c r="C28" s="70" t="s">
        <v>231</v>
      </c>
      <c r="D28" s="71" t="s">
        <v>232</v>
      </c>
      <c r="E28" s="69" t="s">
        <v>16</v>
      </c>
      <c r="F28" s="72" t="s">
        <v>379</v>
      </c>
      <c r="G28" s="86" t="s">
        <v>445</v>
      </c>
      <c r="H28" s="69" t="s">
        <v>370</v>
      </c>
      <c r="I28" s="112">
        <f>VLOOKUP(H28,Dados!$B$2:$C$50,2,0)</f>
        <v>10</v>
      </c>
      <c r="J28" s="111">
        <f>VLOOKUP(H28,Dados!$B$2:$E$50,4,0)</f>
        <v>98</v>
      </c>
    </row>
    <row r="29" spans="1:10" ht="34.200000000000003" hidden="1" x14ac:dyDescent="0.2">
      <c r="A29" s="69" t="s">
        <v>10</v>
      </c>
      <c r="B29" s="70" t="s">
        <v>142</v>
      </c>
      <c r="C29" s="70" t="s">
        <v>234</v>
      </c>
      <c r="D29" s="71" t="s">
        <v>144</v>
      </c>
      <c r="E29" s="69" t="s">
        <v>38</v>
      </c>
      <c r="F29" s="72" t="s">
        <v>379</v>
      </c>
      <c r="G29" s="86" t="s">
        <v>440</v>
      </c>
      <c r="H29" s="69" t="s">
        <v>370</v>
      </c>
      <c r="I29" s="113">
        <f>VLOOKUP(H29,Dados!$B$2:$C$50,2,0)</f>
        <v>10</v>
      </c>
      <c r="J29" s="111">
        <f>VLOOKUP(H29,Dados!$B$2:$E$50,4,0)</f>
        <v>98</v>
      </c>
    </row>
    <row r="30" spans="1:10" ht="79.8" hidden="1" x14ac:dyDescent="0.2">
      <c r="A30" s="69" t="s">
        <v>58</v>
      </c>
      <c r="B30" s="70" t="s">
        <v>257</v>
      </c>
      <c r="C30" s="70" t="s">
        <v>258</v>
      </c>
      <c r="D30" s="71" t="s">
        <v>259</v>
      </c>
      <c r="E30" s="69" t="s">
        <v>77</v>
      </c>
      <c r="F30" s="72" t="s">
        <v>379</v>
      </c>
      <c r="G30" s="86" t="s">
        <v>452</v>
      </c>
      <c r="H30" s="69" t="s">
        <v>370</v>
      </c>
      <c r="I30" s="112">
        <f>VLOOKUP(H30,Dados!$B$2:$C$50,2,0)</f>
        <v>10</v>
      </c>
      <c r="J30" s="111">
        <f>VLOOKUP(H30,Dados!$B$2:$E$50,4,0)</f>
        <v>98</v>
      </c>
    </row>
    <row r="31" spans="1:10" ht="171" hidden="1" x14ac:dyDescent="0.2">
      <c r="A31" s="69" t="s">
        <v>10</v>
      </c>
      <c r="B31" s="70" t="s">
        <v>263</v>
      </c>
      <c r="C31" s="70" t="s">
        <v>84</v>
      </c>
      <c r="D31" s="71" t="s">
        <v>262</v>
      </c>
      <c r="E31" s="69" t="s">
        <v>155</v>
      </c>
      <c r="F31" s="72" t="s">
        <v>379</v>
      </c>
      <c r="G31" s="86" t="s">
        <v>946</v>
      </c>
      <c r="H31" s="69" t="s">
        <v>369</v>
      </c>
      <c r="I31" s="112" t="e">
        <f>VLOOKUP(H31,Dados!$B$2:$C$50,2,0)</f>
        <v>#N/A</v>
      </c>
      <c r="J31" s="111" t="e">
        <f>VLOOKUP(H31,Dados!$B$2:$E$50,4,0)</f>
        <v>#N/A</v>
      </c>
    </row>
    <row r="32" spans="1:10" ht="13.95" customHeight="1" x14ac:dyDescent="0.2">
      <c r="A32" s="69" t="s">
        <v>58</v>
      </c>
      <c r="B32" s="70" t="s">
        <v>110</v>
      </c>
      <c r="C32" s="70" t="s">
        <v>84</v>
      </c>
      <c r="D32" s="71" t="s">
        <v>306</v>
      </c>
      <c r="E32" s="69" t="s">
        <v>112</v>
      </c>
      <c r="F32" s="72" t="s">
        <v>379</v>
      </c>
      <c r="G32" s="86" t="s">
        <v>846</v>
      </c>
      <c r="H32" s="69" t="s">
        <v>386</v>
      </c>
      <c r="I32" s="112">
        <f>VLOOKUP(H32,Dados!$B$2:$C$50,2,0)</f>
        <v>9</v>
      </c>
      <c r="J32" s="111">
        <f>VLOOKUP(H32,Dados!$B$2:$E$50,4,0)</f>
        <v>88</v>
      </c>
    </row>
    <row r="33" spans="1:10" ht="45.6" hidden="1" x14ac:dyDescent="0.2">
      <c r="A33" s="69" t="s">
        <v>39</v>
      </c>
      <c r="B33" s="70" t="s">
        <v>294</v>
      </c>
      <c r="C33" s="70" t="s">
        <v>295</v>
      </c>
      <c r="D33" s="71" t="s">
        <v>296</v>
      </c>
      <c r="E33" s="69" t="s">
        <v>38</v>
      </c>
      <c r="F33" s="72" t="s">
        <v>379</v>
      </c>
      <c r="G33" s="86" t="s">
        <v>446</v>
      </c>
      <c r="H33" s="69" t="s">
        <v>370</v>
      </c>
      <c r="I33" s="113">
        <f>VLOOKUP(H33,Dados!$B$2:$C$50,2,0)</f>
        <v>10</v>
      </c>
      <c r="J33" s="111">
        <f>VLOOKUP(H33,Dados!$B$2:$E$50,4,0)</f>
        <v>98</v>
      </c>
    </row>
    <row r="34" spans="1:10" ht="91.2" hidden="1" x14ac:dyDescent="0.2">
      <c r="A34" s="69" t="s">
        <v>10</v>
      </c>
      <c r="B34" s="70" t="s">
        <v>298</v>
      </c>
      <c r="C34" s="70" t="s">
        <v>299</v>
      </c>
      <c r="D34" s="71" t="s">
        <v>300</v>
      </c>
      <c r="E34" s="69" t="s">
        <v>301</v>
      </c>
      <c r="F34" s="72" t="s">
        <v>379</v>
      </c>
      <c r="G34" s="86" t="s">
        <v>640</v>
      </c>
      <c r="H34" s="69" t="s">
        <v>370</v>
      </c>
      <c r="I34" s="112">
        <f>VLOOKUP(H34,Dados!$B$2:$C$50,2,0)</f>
        <v>10</v>
      </c>
      <c r="J34" s="111">
        <f>VLOOKUP(H34,Dados!$B$2:$E$50,4,0)</f>
        <v>98</v>
      </c>
    </row>
    <row r="35" spans="1:10" ht="216.6" hidden="1" x14ac:dyDescent="0.2">
      <c r="A35" s="69" t="s">
        <v>17</v>
      </c>
      <c r="B35" s="70" t="s">
        <v>349</v>
      </c>
      <c r="C35" s="70" t="s">
        <v>351</v>
      </c>
      <c r="D35" s="71" t="s">
        <v>350</v>
      </c>
      <c r="E35" s="69" t="s">
        <v>273</v>
      </c>
      <c r="F35" s="72" t="s">
        <v>379</v>
      </c>
      <c r="G35" s="86" t="s">
        <v>980</v>
      </c>
      <c r="H35" s="69" t="s">
        <v>370</v>
      </c>
      <c r="I35" s="112">
        <f>VLOOKUP(H35,Dados!$B$2:$C$50,2,0)</f>
        <v>10</v>
      </c>
      <c r="J35" s="111">
        <f>VLOOKUP(H35,Dados!$B$2:$E$50,4,0)</f>
        <v>98</v>
      </c>
    </row>
    <row r="36" spans="1:10" ht="34.200000000000003" hidden="1" x14ac:dyDescent="0.2">
      <c r="A36" s="69" t="s">
        <v>39</v>
      </c>
      <c r="B36" s="70" t="s">
        <v>7</v>
      </c>
      <c r="C36" s="70" t="s">
        <v>79</v>
      </c>
      <c r="D36" s="71" t="s">
        <v>54</v>
      </c>
      <c r="E36" s="69" t="s">
        <v>8</v>
      </c>
      <c r="F36" s="72" t="s">
        <v>380</v>
      </c>
      <c r="G36" s="87" t="s">
        <v>394</v>
      </c>
      <c r="H36" s="69" t="s">
        <v>370</v>
      </c>
      <c r="I36" s="112">
        <f>VLOOKUP(H36,Dados!$B$2:$C$50,2,0)</f>
        <v>10</v>
      </c>
      <c r="J36" s="111">
        <f>VLOOKUP(H36,Dados!$B$2:$E$50,4,0)</f>
        <v>98</v>
      </c>
    </row>
    <row r="37" spans="1:10" ht="22.8" hidden="1" x14ac:dyDescent="0.2">
      <c r="A37" s="69" t="s">
        <v>10</v>
      </c>
      <c r="B37" s="70" t="s">
        <v>78</v>
      </c>
      <c r="C37" s="70" t="s">
        <v>80</v>
      </c>
      <c r="D37" s="71" t="s">
        <v>81</v>
      </c>
      <c r="E37" s="69" t="s">
        <v>82</v>
      </c>
      <c r="F37" s="72" t="s">
        <v>380</v>
      </c>
      <c r="G37" s="87" t="s">
        <v>441</v>
      </c>
      <c r="H37" s="69" t="s">
        <v>370</v>
      </c>
      <c r="I37" s="112">
        <f>VLOOKUP(H37,Dados!$B$2:$C$50,2,0)</f>
        <v>10</v>
      </c>
      <c r="J37" s="111">
        <f>VLOOKUP(H37,Dados!$B$2:$E$50,4,0)</f>
        <v>98</v>
      </c>
    </row>
    <row r="38" spans="1:10" ht="45.6" hidden="1" x14ac:dyDescent="0.2">
      <c r="A38" s="69" t="s">
        <v>17</v>
      </c>
      <c r="B38" s="70" t="s">
        <v>110</v>
      </c>
      <c r="C38" s="70" t="s">
        <v>84</v>
      </c>
      <c r="D38" s="71" t="s">
        <v>111</v>
      </c>
      <c r="E38" s="69" t="s">
        <v>112</v>
      </c>
      <c r="F38" s="72" t="s">
        <v>380</v>
      </c>
      <c r="G38" s="87" t="s">
        <v>885</v>
      </c>
      <c r="H38" s="69" t="s">
        <v>370</v>
      </c>
      <c r="I38" s="113">
        <f>VLOOKUP(H38,Dados!$B$2:$C$50,2,0)</f>
        <v>10</v>
      </c>
      <c r="J38" s="111">
        <f>VLOOKUP(H38,Dados!$B$2:$E$50,4,0)</f>
        <v>98</v>
      </c>
    </row>
    <row r="39" spans="1:10" ht="34.200000000000003" hidden="1" x14ac:dyDescent="0.2">
      <c r="A39" s="69" t="s">
        <v>58</v>
      </c>
      <c r="B39" s="70" t="s">
        <v>40</v>
      </c>
      <c r="C39" s="70" t="s">
        <v>140</v>
      </c>
      <c r="D39" s="71" t="s">
        <v>141</v>
      </c>
      <c r="E39" s="69" t="s">
        <v>43</v>
      </c>
      <c r="F39" s="72" t="s">
        <v>380</v>
      </c>
      <c r="G39" s="87" t="s">
        <v>395</v>
      </c>
      <c r="H39" s="69" t="s">
        <v>370</v>
      </c>
      <c r="I39" s="113">
        <f>VLOOKUP(H39,Dados!$B$2:$C$50,2,0)</f>
        <v>10</v>
      </c>
      <c r="J39" s="111">
        <f>VLOOKUP(H39,Dados!$B$2:$E$50,4,0)</f>
        <v>98</v>
      </c>
    </row>
    <row r="40" spans="1:10" ht="68.400000000000006" hidden="1" x14ac:dyDescent="0.2">
      <c r="A40" s="69" t="s">
        <v>39</v>
      </c>
      <c r="B40" s="70" t="s">
        <v>113</v>
      </c>
      <c r="C40" s="70" t="s">
        <v>114</v>
      </c>
      <c r="D40" s="71" t="s">
        <v>115</v>
      </c>
      <c r="E40" s="69" t="s">
        <v>360</v>
      </c>
      <c r="F40" s="72" t="s">
        <v>380</v>
      </c>
      <c r="G40" s="87" t="s">
        <v>553</v>
      </c>
      <c r="H40" s="69" t="s">
        <v>370</v>
      </c>
      <c r="I40" s="112">
        <f>VLOOKUP(H40,Dados!$B$2:$C$50,2,0)</f>
        <v>10</v>
      </c>
      <c r="J40" s="111">
        <f>VLOOKUP(H40,Dados!$B$2:$E$50,4,0)</f>
        <v>98</v>
      </c>
    </row>
    <row r="41" spans="1:10" ht="79.8" hidden="1" x14ac:dyDescent="0.2">
      <c r="A41" s="69" t="s">
        <v>10</v>
      </c>
      <c r="B41" s="73" t="s">
        <v>118</v>
      </c>
      <c r="C41" s="70" t="s">
        <v>79</v>
      </c>
      <c r="D41" s="71" t="s">
        <v>1217</v>
      </c>
      <c r="E41" s="69" t="s">
        <v>67</v>
      </c>
      <c r="F41" s="72" t="s">
        <v>380</v>
      </c>
      <c r="G41" s="87" t="s">
        <v>1231</v>
      </c>
      <c r="H41" s="69" t="s">
        <v>370</v>
      </c>
      <c r="I41" s="112">
        <f>VLOOKUP(H41,Dados!$B$2:$C$50,2,0)</f>
        <v>10</v>
      </c>
      <c r="J41" s="111">
        <f>VLOOKUP(H41,Dados!$B$2:$E$50,4,0)</f>
        <v>98</v>
      </c>
    </row>
    <row r="42" spans="1:10" ht="79.8" x14ac:dyDescent="0.2">
      <c r="A42" s="69" t="s">
        <v>39</v>
      </c>
      <c r="B42" s="70" t="s">
        <v>166</v>
      </c>
      <c r="C42" s="70" t="s">
        <v>167</v>
      </c>
      <c r="D42" s="71" t="s">
        <v>168</v>
      </c>
      <c r="E42" s="69" t="s">
        <v>16</v>
      </c>
      <c r="F42" s="72" t="s">
        <v>380</v>
      </c>
      <c r="G42" s="87" t="s">
        <v>447</v>
      </c>
      <c r="H42" s="69" t="s">
        <v>362</v>
      </c>
      <c r="I42" s="112">
        <f>VLOOKUP(H42,Dados!$B$2:$C$50,2,0)</f>
        <v>1</v>
      </c>
      <c r="J42" s="111">
        <f>VLOOKUP(H42,Dados!$B$2:$E$50,4,0)</f>
        <v>8</v>
      </c>
    </row>
    <row r="43" spans="1:10" ht="34.200000000000003" hidden="1" x14ac:dyDescent="0.2">
      <c r="A43" s="69" t="s">
        <v>10</v>
      </c>
      <c r="B43" s="70" t="s">
        <v>228</v>
      </c>
      <c r="C43" s="70" t="s">
        <v>84</v>
      </c>
      <c r="D43" s="71" t="s">
        <v>229</v>
      </c>
      <c r="E43" s="69" t="s">
        <v>188</v>
      </c>
      <c r="F43" s="72" t="s">
        <v>380</v>
      </c>
      <c r="G43" s="87" t="s">
        <v>438</v>
      </c>
      <c r="H43" s="69" t="s">
        <v>370</v>
      </c>
      <c r="I43" s="112">
        <f>VLOOKUP(H43,Dados!$B$2:$C$50,2,0)</f>
        <v>10</v>
      </c>
      <c r="J43" s="111">
        <f>VLOOKUP(H43,Dados!$B$2:$E$50,4,0)</f>
        <v>98</v>
      </c>
    </row>
    <row r="44" spans="1:10" ht="79.8" hidden="1" x14ac:dyDescent="0.2">
      <c r="A44" s="69" t="s">
        <v>58</v>
      </c>
      <c r="B44" s="70" t="s">
        <v>241</v>
      </c>
      <c r="C44" s="70" t="s">
        <v>140</v>
      </c>
      <c r="D44" s="71" t="s">
        <v>242</v>
      </c>
      <c r="E44" s="69" t="s">
        <v>188</v>
      </c>
      <c r="F44" s="72" t="s">
        <v>380</v>
      </c>
      <c r="G44" s="87" t="s">
        <v>545</v>
      </c>
      <c r="H44" s="69" t="s">
        <v>370</v>
      </c>
      <c r="I44" s="112">
        <f>VLOOKUP(H44,Dados!$B$2:$C$50,2,0)</f>
        <v>10</v>
      </c>
      <c r="J44" s="111">
        <f>VLOOKUP(H44,Dados!$B$2:$E$50,4,0)</f>
        <v>98</v>
      </c>
    </row>
    <row r="45" spans="1:10" ht="34.200000000000003" hidden="1" x14ac:dyDescent="0.2">
      <c r="A45" s="69" t="s">
        <v>39</v>
      </c>
      <c r="B45" s="70" t="s">
        <v>261</v>
      </c>
      <c r="C45" s="74" t="s">
        <v>84</v>
      </c>
      <c r="D45" s="71" t="s">
        <v>262</v>
      </c>
      <c r="E45" s="69" t="s">
        <v>155</v>
      </c>
      <c r="F45" s="72" t="s">
        <v>380</v>
      </c>
      <c r="G45" s="87" t="s">
        <v>396</v>
      </c>
      <c r="H45" s="69" t="s">
        <v>370</v>
      </c>
      <c r="I45" s="112">
        <f>VLOOKUP(H45,Dados!$B$2:$C$50,2,0)</f>
        <v>10</v>
      </c>
      <c r="J45" s="111">
        <f>VLOOKUP(H45,Dados!$B$2:$E$50,4,0)</f>
        <v>98</v>
      </c>
    </row>
    <row r="46" spans="1:10" ht="34.200000000000003" hidden="1" x14ac:dyDescent="0.2">
      <c r="A46" s="69" t="s">
        <v>10</v>
      </c>
      <c r="B46" s="70" t="s">
        <v>64</v>
      </c>
      <c r="C46" s="70" t="s">
        <v>84</v>
      </c>
      <c r="D46" s="71" t="s">
        <v>66</v>
      </c>
      <c r="E46" s="69" t="s">
        <v>67</v>
      </c>
      <c r="F46" s="72" t="s">
        <v>380</v>
      </c>
      <c r="G46" s="87" t="s">
        <v>437</v>
      </c>
      <c r="H46" s="69" t="s">
        <v>370</v>
      </c>
      <c r="I46" s="112">
        <f>VLOOKUP(H46,Dados!$B$2:$C$50,2,0)</f>
        <v>10</v>
      </c>
      <c r="J46" s="111">
        <f>VLOOKUP(H46,Dados!$B$2:$E$50,4,0)</f>
        <v>98</v>
      </c>
    </row>
    <row r="47" spans="1:10" ht="79.8" hidden="1" x14ac:dyDescent="0.2">
      <c r="A47" s="69" t="s">
        <v>58</v>
      </c>
      <c r="B47" s="70" t="s">
        <v>270</v>
      </c>
      <c r="C47" s="70" t="s">
        <v>271</v>
      </c>
      <c r="D47" s="71" t="s">
        <v>272</v>
      </c>
      <c r="E47" s="69" t="s">
        <v>273</v>
      </c>
      <c r="F47" s="72" t="s">
        <v>380</v>
      </c>
      <c r="G47" s="87" t="s">
        <v>977</v>
      </c>
      <c r="H47" s="69" t="s">
        <v>369</v>
      </c>
      <c r="I47" s="112" t="e">
        <f>VLOOKUP(H47,Dados!$B$2:$C$50,2,0)</f>
        <v>#N/A</v>
      </c>
      <c r="J47" s="111" t="e">
        <f>VLOOKUP(H47,Dados!$B$2:$E$50,4,0)</f>
        <v>#N/A</v>
      </c>
    </row>
    <row r="48" spans="1:10" ht="45.6" hidden="1" x14ac:dyDescent="0.2">
      <c r="A48" s="69" t="s">
        <v>39</v>
      </c>
      <c r="B48" s="70" t="s">
        <v>276</v>
      </c>
      <c r="C48" s="70" t="s">
        <v>84</v>
      </c>
      <c r="D48" s="71" t="s">
        <v>277</v>
      </c>
      <c r="E48" s="69" t="s">
        <v>278</v>
      </c>
      <c r="F48" s="72" t="s">
        <v>380</v>
      </c>
      <c r="G48" s="87" t="s">
        <v>448</v>
      </c>
      <c r="H48" s="69" t="s">
        <v>370</v>
      </c>
      <c r="I48" s="112">
        <f>VLOOKUP(H48,Dados!$B$2:$C$50,2,0)</f>
        <v>10</v>
      </c>
      <c r="J48" s="111">
        <f>VLOOKUP(H48,Dados!$B$2:$E$50,4,0)</f>
        <v>98</v>
      </c>
    </row>
    <row r="49" spans="1:10" ht="102.6" hidden="1" x14ac:dyDescent="0.2">
      <c r="A49" s="69" t="s">
        <v>10</v>
      </c>
      <c r="B49" s="70" t="s">
        <v>162</v>
      </c>
      <c r="C49" s="70" t="s">
        <v>84</v>
      </c>
      <c r="D49" s="71" t="s">
        <v>1082</v>
      </c>
      <c r="E49" s="69" t="s">
        <v>164</v>
      </c>
      <c r="F49" s="72" t="s">
        <v>380</v>
      </c>
      <c r="G49" s="87" t="s">
        <v>1327</v>
      </c>
      <c r="H49" s="69" t="s">
        <v>370</v>
      </c>
      <c r="I49" s="112">
        <f>VLOOKUP(H49,Dados!$B$2:$C$50,2,0)</f>
        <v>10</v>
      </c>
      <c r="J49" s="111">
        <f>VLOOKUP(H49,Dados!$B$2:$E$50,4,0)</f>
        <v>98</v>
      </c>
    </row>
    <row r="50" spans="1:10" ht="57" hidden="1" x14ac:dyDescent="0.2">
      <c r="A50" s="69" t="s">
        <v>58</v>
      </c>
      <c r="B50" s="70" t="s">
        <v>174</v>
      </c>
      <c r="C50" s="70" t="s">
        <v>84</v>
      </c>
      <c r="D50" s="71" t="s">
        <v>1167</v>
      </c>
      <c r="E50" s="69" t="s">
        <v>127</v>
      </c>
      <c r="F50" s="72" t="s">
        <v>380</v>
      </c>
      <c r="G50" s="87" t="s">
        <v>806</v>
      </c>
      <c r="H50" s="69" t="s">
        <v>370</v>
      </c>
      <c r="I50" s="112">
        <f>VLOOKUP(H50,Dados!$B$2:$C$50,2,0)</f>
        <v>10</v>
      </c>
      <c r="J50" s="111">
        <f>VLOOKUP(H50,Dados!$B$2:$E$50,4,0)</f>
        <v>98</v>
      </c>
    </row>
    <row r="51" spans="1:10" ht="45.6" x14ac:dyDescent="0.2">
      <c r="A51" s="69" t="s">
        <v>39</v>
      </c>
      <c r="B51" s="70" t="s">
        <v>291</v>
      </c>
      <c r="C51" s="70" t="s">
        <v>292</v>
      </c>
      <c r="D51" s="71" t="s">
        <v>293</v>
      </c>
      <c r="E51" s="69" t="s">
        <v>16</v>
      </c>
      <c r="F51" s="72" t="s">
        <v>380</v>
      </c>
      <c r="G51" s="87" t="s">
        <v>449</v>
      </c>
      <c r="H51" s="69" t="s">
        <v>362</v>
      </c>
      <c r="I51" s="112">
        <f>VLOOKUP(H51,Dados!$B$2:$C$50,2,0)</f>
        <v>1</v>
      </c>
      <c r="J51" s="111">
        <f>VLOOKUP(H51,Dados!$B$2:$E$50,4,0)</f>
        <v>8</v>
      </c>
    </row>
    <row r="52" spans="1:10" ht="57" x14ac:dyDescent="0.2">
      <c r="A52" s="69" t="s">
        <v>17</v>
      </c>
      <c r="B52" s="70" t="s">
        <v>345</v>
      </c>
      <c r="C52" s="70" t="s">
        <v>140</v>
      </c>
      <c r="D52" s="71" t="s">
        <v>346</v>
      </c>
      <c r="E52" s="69" t="s">
        <v>210</v>
      </c>
      <c r="F52" s="72" t="s">
        <v>380</v>
      </c>
      <c r="G52" s="87" t="s">
        <v>815</v>
      </c>
      <c r="H52" s="69" t="s">
        <v>362</v>
      </c>
      <c r="I52" s="112">
        <f>VLOOKUP(H52,Dados!$B$2:$C$50,2,0)</f>
        <v>1</v>
      </c>
      <c r="J52" s="111">
        <f>VLOOKUP(H52,Dados!$B$2:$E$50,4,0)</f>
        <v>8</v>
      </c>
    </row>
    <row r="53" spans="1:10" ht="68.400000000000006" hidden="1" x14ac:dyDescent="0.2">
      <c r="A53" s="69" t="s">
        <v>10</v>
      </c>
      <c r="B53" s="70" t="s">
        <v>354</v>
      </c>
      <c r="C53" s="70" t="s">
        <v>84</v>
      </c>
      <c r="D53" s="71" t="s">
        <v>355</v>
      </c>
      <c r="E53" s="69" t="s">
        <v>102</v>
      </c>
      <c r="F53" s="72" t="s">
        <v>380</v>
      </c>
      <c r="G53" s="87" t="s">
        <v>702</v>
      </c>
      <c r="H53" s="69" t="s">
        <v>370</v>
      </c>
      <c r="I53" s="112">
        <f>VLOOKUP(H53,Dados!$B$2:$C$50,2,0)</f>
        <v>10</v>
      </c>
      <c r="J53" s="111">
        <f>VLOOKUP(H53,Dados!$B$2:$E$50,4,0)</f>
        <v>98</v>
      </c>
    </row>
    <row r="54" spans="1:10" ht="102.6" hidden="1" x14ac:dyDescent="0.2">
      <c r="A54" s="69" t="s">
        <v>10</v>
      </c>
      <c r="B54" s="70" t="s">
        <v>461</v>
      </c>
      <c r="C54" s="70" t="s">
        <v>36</v>
      </c>
      <c r="D54" s="71" t="s">
        <v>37</v>
      </c>
      <c r="E54" s="69" t="s">
        <v>38</v>
      </c>
      <c r="F54" s="72" t="s">
        <v>381</v>
      </c>
      <c r="G54" s="87" t="s">
        <v>508</v>
      </c>
      <c r="H54" s="69" t="s">
        <v>370</v>
      </c>
      <c r="I54" s="112">
        <f>VLOOKUP(H54,Dados!$B$2:$C$50,2,0)</f>
        <v>10</v>
      </c>
      <c r="J54" s="111">
        <f>VLOOKUP(H54,Dados!$B$2:$E$50,4,0)</f>
        <v>98</v>
      </c>
    </row>
    <row r="55" spans="1:10" ht="57" hidden="1" x14ac:dyDescent="0.2">
      <c r="A55" s="69" t="s">
        <v>39</v>
      </c>
      <c r="B55" s="70" t="s">
        <v>74</v>
      </c>
      <c r="C55" s="70" t="s">
        <v>75</v>
      </c>
      <c r="D55" s="71" t="s">
        <v>76</v>
      </c>
      <c r="E55" s="69" t="s">
        <v>77</v>
      </c>
      <c r="F55" s="72" t="s">
        <v>381</v>
      </c>
      <c r="G55" s="87" t="s">
        <v>397</v>
      </c>
      <c r="H55" s="69" t="s">
        <v>370</v>
      </c>
      <c r="I55" s="113">
        <f>VLOOKUP(H55,Dados!$B$2:$C$50,2,0)</f>
        <v>10</v>
      </c>
      <c r="J55" s="111">
        <f>VLOOKUP(H55,Dados!$B$2:$E$50,4,0)</f>
        <v>98</v>
      </c>
    </row>
    <row r="56" spans="1:10" ht="45.6" hidden="1" x14ac:dyDescent="0.2">
      <c r="A56" s="69" t="s">
        <v>17</v>
      </c>
      <c r="B56" s="70" t="s">
        <v>108</v>
      </c>
      <c r="C56" s="70" t="s">
        <v>109</v>
      </c>
      <c r="D56" s="71" t="s">
        <v>450</v>
      </c>
      <c r="E56" s="69" t="s">
        <v>9</v>
      </c>
      <c r="F56" s="72" t="s">
        <v>381</v>
      </c>
      <c r="G56" s="87" t="s">
        <v>886</v>
      </c>
      <c r="H56" s="69" t="s">
        <v>370</v>
      </c>
      <c r="I56" s="112">
        <f>VLOOKUP(H56,Dados!$B$2:$C$50,2,0)</f>
        <v>10</v>
      </c>
      <c r="J56" s="111">
        <f>VLOOKUP(H56,Dados!$B$2:$E$50,4,0)</f>
        <v>98</v>
      </c>
    </row>
    <row r="57" spans="1:10" ht="34.200000000000003" hidden="1" x14ac:dyDescent="0.2">
      <c r="A57" s="69" t="s">
        <v>10</v>
      </c>
      <c r="B57" s="70" t="s">
        <v>187</v>
      </c>
      <c r="C57" s="70" t="s">
        <v>189</v>
      </c>
      <c r="D57" s="71"/>
      <c r="E57" s="69" t="s">
        <v>188</v>
      </c>
      <c r="F57" s="72" t="s">
        <v>381</v>
      </c>
      <c r="G57" s="87" t="s">
        <v>398</v>
      </c>
      <c r="H57" s="69" t="s">
        <v>370</v>
      </c>
      <c r="I57" s="112">
        <f>VLOOKUP(H57,Dados!$B$2:$C$50,2,0)</f>
        <v>10</v>
      </c>
      <c r="J57" s="111">
        <f>VLOOKUP(H57,Dados!$B$2:$E$50,4,0)</f>
        <v>98</v>
      </c>
    </row>
    <row r="58" spans="1:10" ht="148.19999999999999" hidden="1" x14ac:dyDescent="0.2">
      <c r="A58" s="69" t="s">
        <v>39</v>
      </c>
      <c r="B58" s="73" t="s">
        <v>254</v>
      </c>
      <c r="C58" s="70" t="s">
        <v>255</v>
      </c>
      <c r="D58" s="71" t="s">
        <v>256</v>
      </c>
      <c r="E58" s="69" t="s">
        <v>67</v>
      </c>
      <c r="F58" s="72" t="s">
        <v>381</v>
      </c>
      <c r="G58" s="87" t="s">
        <v>521</v>
      </c>
      <c r="H58" s="69" t="s">
        <v>370</v>
      </c>
      <c r="I58" s="113">
        <f>VLOOKUP(H58,Dados!$B$2:$C$50,2,0)</f>
        <v>10</v>
      </c>
      <c r="J58" s="111">
        <f>VLOOKUP(H58,Dados!$B$2:$E$50,4,0)</f>
        <v>98</v>
      </c>
    </row>
    <row r="59" spans="1:10" ht="114" x14ac:dyDescent="0.2">
      <c r="A59" s="69" t="s">
        <v>10</v>
      </c>
      <c r="B59" s="70" t="s">
        <v>241</v>
      </c>
      <c r="C59" s="70" t="s">
        <v>157</v>
      </c>
      <c r="D59" s="71" t="s">
        <v>242</v>
      </c>
      <c r="E59" s="69" t="s">
        <v>188</v>
      </c>
      <c r="F59" s="72" t="s">
        <v>381</v>
      </c>
      <c r="G59" s="87" t="s">
        <v>696</v>
      </c>
      <c r="H59" s="69" t="s">
        <v>366</v>
      </c>
      <c r="I59" s="112">
        <f>VLOOKUP(H59,Dados!$B$2:$C$50,2,0)</f>
        <v>7</v>
      </c>
      <c r="J59" s="111">
        <f>VLOOKUP(H59,Dados!$B$2:$E$50,4,0)</f>
        <v>68</v>
      </c>
    </row>
    <row r="60" spans="1:10" ht="68.400000000000006" hidden="1" x14ac:dyDescent="0.2">
      <c r="A60" s="69" t="s">
        <v>17</v>
      </c>
      <c r="B60" s="70" t="s">
        <v>303</v>
      </c>
      <c r="C60" s="70" t="s">
        <v>255</v>
      </c>
      <c r="D60" s="71" t="s">
        <v>451</v>
      </c>
      <c r="E60" s="69" t="s">
        <v>304</v>
      </c>
      <c r="F60" s="72" t="s">
        <v>415</v>
      </c>
      <c r="G60" s="87" t="s">
        <v>887</v>
      </c>
      <c r="H60" s="69" t="s">
        <v>370</v>
      </c>
      <c r="I60" s="112">
        <f>VLOOKUP(H60,Dados!$B$2:$C$50,2,0)</f>
        <v>10</v>
      </c>
      <c r="J60" s="111">
        <f>VLOOKUP(H60,Dados!$B$2:$E$50,4,0)</f>
        <v>98</v>
      </c>
    </row>
    <row r="61" spans="1:10" ht="68.400000000000006" hidden="1" x14ac:dyDescent="0.2">
      <c r="A61" s="69" t="s">
        <v>39</v>
      </c>
      <c r="B61" s="70" t="s">
        <v>309</v>
      </c>
      <c r="C61" s="70" t="s">
        <v>157</v>
      </c>
      <c r="D61" s="71" t="s">
        <v>310</v>
      </c>
      <c r="E61" s="69" t="s">
        <v>112</v>
      </c>
      <c r="F61" s="75" t="s">
        <v>415</v>
      </c>
      <c r="G61" s="87" t="s">
        <v>574</v>
      </c>
      <c r="H61" s="69" t="s">
        <v>370</v>
      </c>
      <c r="I61" s="112">
        <f>VLOOKUP(H61,Dados!$B$2:$C$50,2,0)</f>
        <v>10</v>
      </c>
      <c r="J61" s="111">
        <f>VLOOKUP(H61,Dados!$B$2:$E$50,4,0)</f>
        <v>98</v>
      </c>
    </row>
    <row r="62" spans="1:10" ht="68.400000000000006" hidden="1" x14ac:dyDescent="0.2">
      <c r="A62" s="69" t="s">
        <v>10</v>
      </c>
      <c r="B62" s="70" t="s">
        <v>325</v>
      </c>
      <c r="C62" s="70" t="s">
        <v>326</v>
      </c>
      <c r="D62" s="71" t="s">
        <v>327</v>
      </c>
      <c r="E62" s="69" t="s">
        <v>132</v>
      </c>
      <c r="F62" s="75" t="s">
        <v>381</v>
      </c>
      <c r="G62" s="87" t="s">
        <v>509</v>
      </c>
      <c r="H62" s="69" t="s">
        <v>370</v>
      </c>
      <c r="I62" s="112">
        <f>VLOOKUP(H62,Dados!$B$2:$C$50,2,0)</f>
        <v>10</v>
      </c>
      <c r="J62" s="111">
        <f>VLOOKUP(H62,Dados!$B$2:$E$50,4,0)</f>
        <v>98</v>
      </c>
    </row>
    <row r="63" spans="1:10" ht="45.6" hidden="1" x14ac:dyDescent="0.2">
      <c r="A63" s="69" t="s">
        <v>17</v>
      </c>
      <c r="B63" s="70" t="s">
        <v>14</v>
      </c>
      <c r="C63" s="70" t="s">
        <v>18</v>
      </c>
      <c r="D63" s="71" t="s">
        <v>999</v>
      </c>
      <c r="E63" s="69" t="s">
        <v>16</v>
      </c>
      <c r="F63" s="75" t="s">
        <v>400</v>
      </c>
      <c r="G63" s="87" t="s">
        <v>402</v>
      </c>
      <c r="H63" s="69" t="s">
        <v>370</v>
      </c>
      <c r="I63" s="113">
        <f>VLOOKUP(H63,Dados!$B$2:$C$50,2,0)</f>
        <v>10</v>
      </c>
      <c r="J63" s="111">
        <f>VLOOKUP(H63,Dados!$B$2:$E$50,4,0)</f>
        <v>98</v>
      </c>
    </row>
    <row r="64" spans="1:10" ht="45.6" hidden="1" x14ac:dyDescent="0.2">
      <c r="A64" s="69" t="s">
        <v>22</v>
      </c>
      <c r="B64" s="70" t="s">
        <v>19</v>
      </c>
      <c r="C64" s="70" t="s">
        <v>20</v>
      </c>
      <c r="D64" s="71" t="s">
        <v>21</v>
      </c>
      <c r="E64" s="69" t="s">
        <v>16</v>
      </c>
      <c r="F64" s="75" t="s">
        <v>400</v>
      </c>
      <c r="G64" s="87" t="s">
        <v>403</v>
      </c>
      <c r="H64" s="69" t="s">
        <v>430</v>
      </c>
      <c r="I64" s="113">
        <f>VLOOKUP(H64,Dados!$B$2:$C$50,2,0)</f>
        <v>10</v>
      </c>
      <c r="J64" s="111">
        <f>VLOOKUP(H64,Dados!$B$2:$E$50,4,0)</f>
        <v>98</v>
      </c>
    </row>
    <row r="65" spans="1:10" ht="45.6" hidden="1" x14ac:dyDescent="0.2">
      <c r="A65" s="69" t="s">
        <v>17</v>
      </c>
      <c r="B65" s="70" t="s">
        <v>26</v>
      </c>
      <c r="C65" s="70" t="s">
        <v>27</v>
      </c>
      <c r="D65" s="71" t="s">
        <v>28</v>
      </c>
      <c r="E65" s="69" t="s">
        <v>16</v>
      </c>
      <c r="F65" s="75" t="s">
        <v>400</v>
      </c>
      <c r="G65" s="87" t="s">
        <v>404</v>
      </c>
      <c r="H65" s="69" t="s">
        <v>370</v>
      </c>
      <c r="I65" s="113">
        <f>VLOOKUP(H65,Dados!$B$2:$C$50,2,0)</f>
        <v>10</v>
      </c>
      <c r="J65" s="111">
        <f>VLOOKUP(H65,Dados!$B$2:$E$50,4,0)</f>
        <v>98</v>
      </c>
    </row>
    <row r="66" spans="1:10" ht="45.6" hidden="1" x14ac:dyDescent="0.2">
      <c r="A66" s="69" t="s">
        <v>10</v>
      </c>
      <c r="B66" s="70" t="s">
        <v>29</v>
      </c>
      <c r="C66" s="70" t="s">
        <v>30</v>
      </c>
      <c r="D66" s="71" t="s">
        <v>31</v>
      </c>
      <c r="E66" s="69" t="s">
        <v>32</v>
      </c>
      <c r="F66" s="75" t="s">
        <v>400</v>
      </c>
      <c r="G66" s="87" t="s">
        <v>405</v>
      </c>
      <c r="H66" s="69" t="s">
        <v>370</v>
      </c>
      <c r="I66" s="113">
        <f>VLOOKUP(H66,Dados!$B$2:$C$50,2,0)</f>
        <v>10</v>
      </c>
      <c r="J66" s="111">
        <f>VLOOKUP(H66,Dados!$B$2:$E$50,4,0)</f>
        <v>98</v>
      </c>
    </row>
    <row r="67" spans="1:10" ht="45.6" hidden="1" x14ac:dyDescent="0.2">
      <c r="A67" s="69" t="s">
        <v>10</v>
      </c>
      <c r="B67" s="70" t="s">
        <v>23</v>
      </c>
      <c r="C67" s="70" t="s">
        <v>24</v>
      </c>
      <c r="D67" s="71" t="s">
        <v>25</v>
      </c>
      <c r="E67" s="69" t="s">
        <v>16</v>
      </c>
      <c r="F67" s="75" t="s">
        <v>400</v>
      </c>
      <c r="G67" s="87" t="s">
        <v>641</v>
      </c>
      <c r="H67" s="69" t="s">
        <v>370</v>
      </c>
      <c r="I67" s="112">
        <f>VLOOKUP(H67,Dados!$B$2:$C$50,2,0)</f>
        <v>10</v>
      </c>
      <c r="J67" s="111">
        <f>VLOOKUP(H67,Dados!$B$2:$E$50,4,0)</f>
        <v>98</v>
      </c>
    </row>
    <row r="68" spans="1:10" ht="34.200000000000003" hidden="1" x14ac:dyDescent="0.2">
      <c r="A68" s="69" t="s">
        <v>17</v>
      </c>
      <c r="B68" s="73" t="s">
        <v>33</v>
      </c>
      <c r="C68" s="70" t="s">
        <v>34</v>
      </c>
      <c r="D68" s="71" t="s">
        <v>35</v>
      </c>
      <c r="E68" s="69" t="s">
        <v>16</v>
      </c>
      <c r="F68" s="75" t="s">
        <v>400</v>
      </c>
      <c r="G68" s="87" t="s">
        <v>406</v>
      </c>
      <c r="H68" s="69" t="s">
        <v>370</v>
      </c>
      <c r="I68" s="113">
        <f>VLOOKUP(H68,Dados!$B$2:$C$50,2,0)</f>
        <v>10</v>
      </c>
      <c r="J68" s="111">
        <f>VLOOKUP(H68,Dados!$B$2:$E$50,4,0)</f>
        <v>98</v>
      </c>
    </row>
    <row r="69" spans="1:10" ht="34.200000000000003" hidden="1" x14ac:dyDescent="0.2">
      <c r="A69" s="69" t="s">
        <v>10</v>
      </c>
      <c r="B69" s="70" t="s">
        <v>40</v>
      </c>
      <c r="C69" s="70" t="s">
        <v>41</v>
      </c>
      <c r="D69" s="71" t="s">
        <v>42</v>
      </c>
      <c r="E69" s="69" t="s">
        <v>43</v>
      </c>
      <c r="F69" s="75" t="s">
        <v>400</v>
      </c>
      <c r="G69" s="87" t="s">
        <v>407</v>
      </c>
      <c r="H69" s="69" t="s">
        <v>370</v>
      </c>
      <c r="I69" s="113">
        <f>VLOOKUP(H69,Dados!$B$2:$C$50,2,0)</f>
        <v>10</v>
      </c>
      <c r="J69" s="111">
        <f>VLOOKUP(H69,Dados!$B$2:$E$50,4,0)</f>
        <v>98</v>
      </c>
    </row>
    <row r="70" spans="1:10" ht="34.200000000000003" hidden="1" x14ac:dyDescent="0.2">
      <c r="A70" s="69" t="s">
        <v>39</v>
      </c>
      <c r="B70" s="70" t="s">
        <v>50</v>
      </c>
      <c r="C70" s="70" t="s">
        <v>51</v>
      </c>
      <c r="D70" s="71" t="s">
        <v>52</v>
      </c>
      <c r="E70" s="69" t="s">
        <v>53</v>
      </c>
      <c r="F70" s="75" t="s">
        <v>400</v>
      </c>
      <c r="G70" s="87" t="s">
        <v>408</v>
      </c>
      <c r="H70" s="69" t="s">
        <v>370</v>
      </c>
      <c r="I70" s="112">
        <f>VLOOKUP(H70,Dados!$B$2:$C$50,2,0)</f>
        <v>10</v>
      </c>
      <c r="J70" s="111">
        <f>VLOOKUP(H70,Dados!$B$2:$E$50,4,0)</f>
        <v>98</v>
      </c>
    </row>
    <row r="71" spans="1:10" ht="45.6" hidden="1" x14ac:dyDescent="0.2">
      <c r="A71" s="69" t="s">
        <v>10</v>
      </c>
      <c r="B71" s="70" t="s">
        <v>92</v>
      </c>
      <c r="C71" s="70" t="s">
        <v>93</v>
      </c>
      <c r="D71" s="71" t="s">
        <v>94</v>
      </c>
      <c r="E71" s="69" t="s">
        <v>16</v>
      </c>
      <c r="F71" s="75" t="s">
        <v>400</v>
      </c>
      <c r="G71" s="87" t="s">
        <v>409</v>
      </c>
      <c r="H71" s="69" t="s">
        <v>370</v>
      </c>
      <c r="I71" s="113">
        <f>VLOOKUP(H71,Dados!$B$2:$C$50,2,0)</f>
        <v>10</v>
      </c>
      <c r="J71" s="111">
        <f>VLOOKUP(H71,Dados!$B$2:$E$50,4,0)</f>
        <v>98</v>
      </c>
    </row>
    <row r="72" spans="1:10" ht="34.200000000000003" hidden="1" x14ac:dyDescent="0.2">
      <c r="A72" s="69" t="s">
        <v>39</v>
      </c>
      <c r="B72" s="70" t="s">
        <v>99</v>
      </c>
      <c r="C72" s="70" t="s">
        <v>100</v>
      </c>
      <c r="D72" s="71" t="s">
        <v>101</v>
      </c>
      <c r="E72" s="69" t="s">
        <v>102</v>
      </c>
      <c r="F72" s="75" t="s">
        <v>400</v>
      </c>
      <c r="G72" s="87" t="s">
        <v>410</v>
      </c>
      <c r="H72" s="69" t="s">
        <v>370</v>
      </c>
      <c r="I72" s="113">
        <f>VLOOKUP(H72,Dados!$B$2:$C$50,2,0)</f>
        <v>10</v>
      </c>
      <c r="J72" s="111">
        <f>VLOOKUP(H72,Dados!$B$2:$E$50,4,0)</f>
        <v>98</v>
      </c>
    </row>
    <row r="73" spans="1:10" ht="68.400000000000006" hidden="1" x14ac:dyDescent="0.2">
      <c r="A73" s="69" t="s">
        <v>58</v>
      </c>
      <c r="B73" s="70" t="s">
        <v>152</v>
      </c>
      <c r="C73" s="70" t="s">
        <v>153</v>
      </c>
      <c r="D73" s="71" t="s">
        <v>154</v>
      </c>
      <c r="E73" s="69" t="s">
        <v>155</v>
      </c>
      <c r="F73" s="75" t="s">
        <v>400</v>
      </c>
      <c r="G73" s="87" t="s">
        <v>668</v>
      </c>
      <c r="H73" s="69" t="s">
        <v>370</v>
      </c>
      <c r="I73" s="112">
        <f>VLOOKUP(H73,Dados!$B$2:$C$50,2,0)</f>
        <v>10</v>
      </c>
      <c r="J73" s="111">
        <f>VLOOKUP(H73,Dados!$B$2:$E$50,4,0)</f>
        <v>98</v>
      </c>
    </row>
    <row r="74" spans="1:10" ht="22.8" hidden="1" x14ac:dyDescent="0.2">
      <c r="A74" s="69" t="s">
        <v>10</v>
      </c>
      <c r="B74" s="70" t="s">
        <v>29</v>
      </c>
      <c r="C74" s="70" t="s">
        <v>30</v>
      </c>
      <c r="D74" s="71" t="s">
        <v>31</v>
      </c>
      <c r="E74" s="69" t="s">
        <v>32</v>
      </c>
      <c r="F74" s="75" t="s">
        <v>400</v>
      </c>
      <c r="G74" s="87" t="s">
        <v>399</v>
      </c>
      <c r="H74" s="69" t="s">
        <v>370</v>
      </c>
      <c r="I74" s="113">
        <f>VLOOKUP(H74,Dados!$B$2:$C$50,2,0)</f>
        <v>10</v>
      </c>
      <c r="J74" s="111">
        <f>VLOOKUP(H74,Dados!$B$2:$E$50,4,0)</f>
        <v>98</v>
      </c>
    </row>
    <row r="75" spans="1:10" ht="34.200000000000003" hidden="1" x14ac:dyDescent="0.2">
      <c r="A75" s="69" t="s">
        <v>10</v>
      </c>
      <c r="B75" s="70" t="s">
        <v>177</v>
      </c>
      <c r="C75" s="74" t="s">
        <v>84</v>
      </c>
      <c r="D75" s="71" t="s">
        <v>178</v>
      </c>
      <c r="E75" s="69" t="s">
        <v>179</v>
      </c>
      <c r="F75" s="75" t="s">
        <v>400</v>
      </c>
      <c r="G75" s="87" t="s">
        <v>434</v>
      </c>
      <c r="H75" s="69" t="s">
        <v>370</v>
      </c>
      <c r="I75" s="113">
        <f>VLOOKUP(H75,Dados!$B$2:$C$50,2,0)</f>
        <v>10</v>
      </c>
      <c r="J75" s="111">
        <f>VLOOKUP(H75,Dados!$B$2:$E$50,4,0)</f>
        <v>98</v>
      </c>
    </row>
    <row r="76" spans="1:10" ht="34.200000000000003" hidden="1" x14ac:dyDescent="0.2">
      <c r="A76" s="69" t="s">
        <v>39</v>
      </c>
      <c r="B76" s="70" t="s">
        <v>216</v>
      </c>
      <c r="C76" s="70" t="s">
        <v>217</v>
      </c>
      <c r="D76" s="71" t="s">
        <v>218</v>
      </c>
      <c r="E76" s="69" t="s">
        <v>122</v>
      </c>
      <c r="F76" s="75" t="s">
        <v>400</v>
      </c>
      <c r="G76" s="87" t="s">
        <v>411</v>
      </c>
      <c r="H76" s="69" t="s">
        <v>370</v>
      </c>
      <c r="I76" s="113">
        <f>VLOOKUP(H76,Dados!$B$2:$C$50,2,0)</f>
        <v>10</v>
      </c>
      <c r="J76" s="111">
        <f>VLOOKUP(H76,Dados!$B$2:$E$50,4,0)</f>
        <v>98</v>
      </c>
    </row>
    <row r="77" spans="1:10" ht="45.6" hidden="1" x14ac:dyDescent="0.2">
      <c r="A77" s="69" t="s">
        <v>58</v>
      </c>
      <c r="B77" s="70" t="s">
        <v>243</v>
      </c>
      <c r="C77" s="70" t="s">
        <v>428</v>
      </c>
      <c r="D77" s="71" t="s">
        <v>244</v>
      </c>
      <c r="E77" s="69" t="s">
        <v>16</v>
      </c>
      <c r="F77" s="75" t="s">
        <v>400</v>
      </c>
      <c r="G77" s="87" t="s">
        <v>429</v>
      </c>
      <c r="H77" s="69" t="s">
        <v>370</v>
      </c>
      <c r="I77" s="112">
        <f>VLOOKUP(H77,Dados!$B$2:$C$50,2,0)</f>
        <v>10</v>
      </c>
      <c r="J77" s="111">
        <f>VLOOKUP(H77,Dados!$B$2:$E$50,4,0)</f>
        <v>98</v>
      </c>
    </row>
    <row r="78" spans="1:10" ht="34.200000000000003" hidden="1" x14ac:dyDescent="0.2">
      <c r="A78" s="69" t="s">
        <v>17</v>
      </c>
      <c r="B78" s="70" t="s">
        <v>253</v>
      </c>
      <c r="C78" s="70" t="s">
        <v>217</v>
      </c>
      <c r="D78" s="71" t="s">
        <v>52</v>
      </c>
      <c r="E78" s="69" t="s">
        <v>53</v>
      </c>
      <c r="F78" s="75" t="s">
        <v>400</v>
      </c>
      <c r="G78" s="87" t="s">
        <v>888</v>
      </c>
      <c r="H78" s="69" t="s">
        <v>370</v>
      </c>
      <c r="I78" s="113">
        <f>VLOOKUP(H78,Dados!$B$2:$C$50,2,0)</f>
        <v>10</v>
      </c>
      <c r="J78" s="111">
        <f>VLOOKUP(H78,Dados!$B$2:$E$50,4,0)</f>
        <v>98</v>
      </c>
    </row>
    <row r="79" spans="1:10" ht="45.6" hidden="1" x14ac:dyDescent="0.2">
      <c r="A79" s="69" t="s">
        <v>10</v>
      </c>
      <c r="B79" s="70" t="s">
        <v>274</v>
      </c>
      <c r="C79" s="70" t="s">
        <v>153</v>
      </c>
      <c r="D79" s="71" t="s">
        <v>275</v>
      </c>
      <c r="E79" s="69" t="s">
        <v>188</v>
      </c>
      <c r="F79" s="75" t="s">
        <v>400</v>
      </c>
      <c r="G79" s="87" t="s">
        <v>573</v>
      </c>
      <c r="H79" s="69" t="s">
        <v>370</v>
      </c>
      <c r="I79" s="112">
        <f>VLOOKUP(H79,Dados!$B$2:$C$50,2,0)</f>
        <v>10</v>
      </c>
      <c r="J79" s="111">
        <f>VLOOKUP(H79,Dados!$B$2:$E$50,4,0)</f>
        <v>98</v>
      </c>
    </row>
    <row r="80" spans="1:10" ht="22.8" hidden="1" x14ac:dyDescent="0.2">
      <c r="A80" s="76" t="s">
        <v>22</v>
      </c>
      <c r="B80" s="70" t="s">
        <v>45</v>
      </c>
      <c r="C80" s="70" t="s">
        <v>46</v>
      </c>
      <c r="D80" s="77" t="s">
        <v>44</v>
      </c>
      <c r="E80" s="76" t="s">
        <v>32</v>
      </c>
      <c r="F80" s="75" t="s">
        <v>401</v>
      </c>
      <c r="G80" s="88" t="s">
        <v>416</v>
      </c>
      <c r="H80" s="69" t="s">
        <v>370</v>
      </c>
      <c r="I80" s="113">
        <f>VLOOKUP(H80,Dados!$B$2:$C$50,2,0)</f>
        <v>10</v>
      </c>
      <c r="J80" s="111">
        <f>VLOOKUP(H80,Dados!$B$2:$E$50,4,0)</f>
        <v>98</v>
      </c>
    </row>
    <row r="81" spans="1:10" ht="22.8" hidden="1" x14ac:dyDescent="0.2">
      <c r="A81" s="76" t="s">
        <v>22</v>
      </c>
      <c r="B81" s="70" t="s">
        <v>88</v>
      </c>
      <c r="C81" s="70" t="s">
        <v>89</v>
      </c>
      <c r="D81" s="77" t="s">
        <v>90</v>
      </c>
      <c r="E81" s="76" t="s">
        <v>91</v>
      </c>
      <c r="F81" s="75" t="s">
        <v>401</v>
      </c>
      <c r="G81" s="87" t="s">
        <v>424</v>
      </c>
      <c r="H81" s="69" t="s">
        <v>370</v>
      </c>
      <c r="I81" s="113">
        <f>VLOOKUP(H81,Dados!$B$2:$C$50,2,0)</f>
        <v>10</v>
      </c>
      <c r="J81" s="111">
        <f>VLOOKUP(H81,Dados!$B$2:$E$50,4,0)</f>
        <v>98</v>
      </c>
    </row>
    <row r="82" spans="1:10" ht="22.8" hidden="1" x14ac:dyDescent="0.2">
      <c r="A82" s="76" t="s">
        <v>22</v>
      </c>
      <c r="B82" s="70" t="s">
        <v>283</v>
      </c>
      <c r="C82" s="70" t="s">
        <v>284</v>
      </c>
      <c r="D82" s="77" t="s">
        <v>285</v>
      </c>
      <c r="E82" s="76" t="s">
        <v>91</v>
      </c>
      <c r="F82" s="75" t="s">
        <v>401</v>
      </c>
      <c r="G82" s="88" t="s">
        <v>417</v>
      </c>
      <c r="H82" s="69" t="s">
        <v>370</v>
      </c>
      <c r="I82" s="113">
        <f>VLOOKUP(H82,Dados!$B$2:$C$50,2,0)</f>
        <v>10</v>
      </c>
      <c r="J82" s="111">
        <f>VLOOKUP(H82,Dados!$B$2:$E$50,4,0)</f>
        <v>98</v>
      </c>
    </row>
    <row r="83" spans="1:10" ht="22.8" hidden="1" x14ac:dyDescent="0.2">
      <c r="A83" s="76" t="s">
        <v>22</v>
      </c>
      <c r="B83" s="70" t="s">
        <v>286</v>
      </c>
      <c r="C83" s="70" t="s">
        <v>55</v>
      </c>
      <c r="D83" s="77" t="s">
        <v>287</v>
      </c>
      <c r="E83" s="76" t="s">
        <v>16</v>
      </c>
      <c r="F83" s="75" t="s">
        <v>401</v>
      </c>
      <c r="G83" s="87" t="s">
        <v>425</v>
      </c>
      <c r="H83" s="69" t="s">
        <v>370</v>
      </c>
      <c r="I83" s="112">
        <f>VLOOKUP(H83,Dados!$B$2:$C$50,2,0)</f>
        <v>10</v>
      </c>
      <c r="J83" s="111">
        <f>VLOOKUP(H83,Dados!$B$2:$E$50,4,0)</f>
        <v>98</v>
      </c>
    </row>
    <row r="84" spans="1:10" ht="22.8" hidden="1" x14ac:dyDescent="0.2">
      <c r="A84" s="76" t="s">
        <v>22</v>
      </c>
      <c r="B84" s="70" t="s">
        <v>315</v>
      </c>
      <c r="C84" s="70" t="s">
        <v>317</v>
      </c>
      <c r="D84" s="77" t="s">
        <v>316</v>
      </c>
      <c r="E84" s="69" t="s">
        <v>210</v>
      </c>
      <c r="F84" s="75" t="s">
        <v>401</v>
      </c>
      <c r="G84" s="88" t="s">
        <v>418</v>
      </c>
      <c r="H84" s="69" t="s">
        <v>370</v>
      </c>
      <c r="I84" s="113">
        <f>VLOOKUP(H84,Dados!$B$2:$C$50,2,0)</f>
        <v>10</v>
      </c>
      <c r="J84" s="111">
        <f>VLOOKUP(H84,Dados!$B$2:$E$50,4,0)</f>
        <v>98</v>
      </c>
    </row>
    <row r="85" spans="1:10" ht="22.8" hidden="1" x14ac:dyDescent="0.2">
      <c r="A85" s="76" t="s">
        <v>22</v>
      </c>
      <c r="B85" s="70" t="s">
        <v>318</v>
      </c>
      <c r="C85" s="70" t="s">
        <v>319</v>
      </c>
      <c r="D85" s="77" t="s">
        <v>320</v>
      </c>
      <c r="E85" s="76" t="s">
        <v>86</v>
      </c>
      <c r="F85" s="75" t="s">
        <v>401</v>
      </c>
      <c r="G85" s="88" t="s">
        <v>418</v>
      </c>
      <c r="H85" s="69" t="s">
        <v>370</v>
      </c>
      <c r="I85" s="113">
        <f>VLOOKUP(H85,Dados!$B$2:$C$50,2,0)</f>
        <v>10</v>
      </c>
      <c r="J85" s="111">
        <f>VLOOKUP(H85,Dados!$B$2:$E$50,4,0)</f>
        <v>98</v>
      </c>
    </row>
    <row r="86" spans="1:10" ht="22.8" hidden="1" x14ac:dyDescent="0.2">
      <c r="A86" s="76" t="s">
        <v>22</v>
      </c>
      <c r="B86" s="70" t="s">
        <v>321</v>
      </c>
      <c r="C86" s="70" t="s">
        <v>284</v>
      </c>
      <c r="D86" s="77" t="s">
        <v>322</v>
      </c>
      <c r="E86" s="76" t="s">
        <v>91</v>
      </c>
      <c r="F86" s="75" t="s">
        <v>401</v>
      </c>
      <c r="G86" s="88" t="s">
        <v>418</v>
      </c>
      <c r="H86" s="69" t="s">
        <v>370</v>
      </c>
      <c r="I86" s="113">
        <f>VLOOKUP(H86,Dados!$B$2:$C$50,2,0)</f>
        <v>10</v>
      </c>
      <c r="J86" s="111">
        <f>VLOOKUP(H86,Dados!$B$2:$E$50,4,0)</f>
        <v>98</v>
      </c>
    </row>
    <row r="87" spans="1:10" ht="22.8" hidden="1" x14ac:dyDescent="0.2">
      <c r="A87" s="76" t="s">
        <v>22</v>
      </c>
      <c r="B87" s="70" t="s">
        <v>323</v>
      </c>
      <c r="C87" s="70" t="s">
        <v>324</v>
      </c>
      <c r="D87" s="77" t="s">
        <v>431</v>
      </c>
      <c r="E87" s="76" t="s">
        <v>38</v>
      </c>
      <c r="F87" s="75" t="s">
        <v>401</v>
      </c>
      <c r="G87" s="88" t="s">
        <v>418</v>
      </c>
      <c r="H87" s="69" t="s">
        <v>370</v>
      </c>
      <c r="I87" s="112">
        <f>VLOOKUP(H87,Dados!$B$2:$C$50,2,0)</f>
        <v>10</v>
      </c>
      <c r="J87" s="111">
        <f>VLOOKUP(H87,Dados!$B$2:$E$50,4,0)</f>
        <v>98</v>
      </c>
    </row>
    <row r="88" spans="1:10" ht="22.8" hidden="1" x14ac:dyDescent="0.2">
      <c r="A88" s="76" t="s">
        <v>22</v>
      </c>
      <c r="B88" s="70" t="s">
        <v>334</v>
      </c>
      <c r="C88" s="70" t="s">
        <v>335</v>
      </c>
      <c r="D88" s="77" t="s">
        <v>90</v>
      </c>
      <c r="E88" s="76" t="s">
        <v>91</v>
      </c>
      <c r="F88" s="75" t="s">
        <v>401</v>
      </c>
      <c r="G88" s="88" t="s">
        <v>419</v>
      </c>
      <c r="H88" s="69" t="s">
        <v>370</v>
      </c>
      <c r="I88" s="112">
        <f>VLOOKUP(H88,Dados!$B$2:$C$50,2,0)</f>
        <v>10</v>
      </c>
      <c r="J88" s="111">
        <f>VLOOKUP(H88,Dados!$B$2:$E$50,4,0)</f>
        <v>98</v>
      </c>
    </row>
    <row r="89" spans="1:10" ht="22.8" hidden="1" x14ac:dyDescent="0.2">
      <c r="A89" s="76" t="s">
        <v>22</v>
      </c>
      <c r="B89" s="70" t="s">
        <v>336</v>
      </c>
      <c r="C89" s="70" t="s">
        <v>337</v>
      </c>
      <c r="D89" s="77" t="s">
        <v>338</v>
      </c>
      <c r="E89" s="76" t="s">
        <v>72</v>
      </c>
      <c r="F89" s="75" t="s">
        <v>401</v>
      </c>
      <c r="G89" s="88" t="s">
        <v>420</v>
      </c>
      <c r="H89" s="69" t="s">
        <v>370</v>
      </c>
      <c r="I89" s="112">
        <f>VLOOKUP(H89,Dados!$B$2:$C$50,2,0)</f>
        <v>10</v>
      </c>
      <c r="J89" s="111">
        <f>VLOOKUP(H89,Dados!$B$2:$E$50,4,0)</f>
        <v>98</v>
      </c>
    </row>
    <row r="90" spans="1:10" ht="22.8" hidden="1" x14ac:dyDescent="0.2">
      <c r="A90" s="76" t="s">
        <v>22</v>
      </c>
      <c r="B90" s="70" t="s">
        <v>339</v>
      </c>
      <c r="C90" s="70" t="s">
        <v>340</v>
      </c>
      <c r="D90" s="77" t="s">
        <v>341</v>
      </c>
      <c r="E90" s="76" t="s">
        <v>179</v>
      </c>
      <c r="F90" s="75" t="s">
        <v>401</v>
      </c>
      <c r="G90" s="88" t="s">
        <v>420</v>
      </c>
      <c r="H90" s="69" t="s">
        <v>370</v>
      </c>
      <c r="I90" s="112">
        <f>VLOOKUP(H90,Dados!$B$2:$C$50,2,0)</f>
        <v>10</v>
      </c>
      <c r="J90" s="111">
        <f>VLOOKUP(H90,Dados!$B$2:$E$50,4,0)</f>
        <v>98</v>
      </c>
    </row>
    <row r="91" spans="1:10" ht="45.6" hidden="1" x14ac:dyDescent="0.2">
      <c r="A91" s="76" t="s">
        <v>22</v>
      </c>
      <c r="B91" s="70" t="s">
        <v>245</v>
      </c>
      <c r="C91" s="70" t="s">
        <v>246</v>
      </c>
      <c r="D91" s="77" t="s">
        <v>90</v>
      </c>
      <c r="E91" s="76" t="s">
        <v>91</v>
      </c>
      <c r="F91" s="75" t="s">
        <v>401</v>
      </c>
      <c r="G91" s="88" t="s">
        <v>421</v>
      </c>
      <c r="H91" s="69" t="s">
        <v>370</v>
      </c>
      <c r="I91" s="112">
        <f>VLOOKUP(H91,Dados!$B$2:$C$50,2,0)</f>
        <v>10</v>
      </c>
      <c r="J91" s="111">
        <f>VLOOKUP(H91,Dados!$B$2:$E$50,4,0)</f>
        <v>98</v>
      </c>
    </row>
    <row r="92" spans="1:10" ht="22.8" hidden="1" x14ac:dyDescent="0.2">
      <c r="A92" s="76" t="s">
        <v>22</v>
      </c>
      <c r="B92" s="70" t="s">
        <v>342</v>
      </c>
      <c r="C92" s="70" t="s">
        <v>343</v>
      </c>
      <c r="D92" s="77" t="s">
        <v>344</v>
      </c>
      <c r="E92" s="76" t="s">
        <v>77</v>
      </c>
      <c r="F92" s="75" t="s">
        <v>401</v>
      </c>
      <c r="G92" s="87" t="s">
        <v>426</v>
      </c>
      <c r="H92" s="69" t="s">
        <v>370</v>
      </c>
      <c r="I92" s="112">
        <f>VLOOKUP(H92,Dados!$B$2:$C$50,2,0)</f>
        <v>10</v>
      </c>
      <c r="J92" s="111">
        <f>VLOOKUP(H92,Dados!$B$2:$E$50,4,0)</f>
        <v>98</v>
      </c>
    </row>
    <row r="93" spans="1:10" ht="22.8" hidden="1" x14ac:dyDescent="0.2">
      <c r="A93" s="76" t="s">
        <v>22</v>
      </c>
      <c r="B93" s="70" t="s">
        <v>282</v>
      </c>
      <c r="C93" s="70" t="s">
        <v>281</v>
      </c>
      <c r="D93" s="77" t="s">
        <v>1166</v>
      </c>
      <c r="E93" s="76" t="s">
        <v>127</v>
      </c>
      <c r="F93" s="75" t="s">
        <v>401</v>
      </c>
      <c r="G93" s="88" t="s">
        <v>422</v>
      </c>
      <c r="H93" s="69" t="s">
        <v>370</v>
      </c>
      <c r="I93" s="112">
        <f>VLOOKUP(H93,Dados!$B$2:$C$50,2,0)</f>
        <v>10</v>
      </c>
      <c r="J93" s="111">
        <f>VLOOKUP(H93,Dados!$B$2:$E$50,4,0)</f>
        <v>98</v>
      </c>
    </row>
    <row r="94" spans="1:10" ht="22.8" hidden="1" x14ac:dyDescent="0.2">
      <c r="A94" s="76" t="s">
        <v>22</v>
      </c>
      <c r="B94" s="70" t="s">
        <v>412</v>
      </c>
      <c r="C94" s="70" t="s">
        <v>413</v>
      </c>
      <c r="D94" s="77" t="s">
        <v>414</v>
      </c>
      <c r="E94" s="76" t="s">
        <v>102</v>
      </c>
      <c r="F94" s="75" t="s">
        <v>401</v>
      </c>
      <c r="G94" s="88" t="s">
        <v>423</v>
      </c>
      <c r="H94" s="69" t="s">
        <v>370</v>
      </c>
      <c r="I94" s="112">
        <f>VLOOKUP(H94,Dados!$B$2:$C$50,2,0)</f>
        <v>10</v>
      </c>
      <c r="J94" s="111">
        <f>VLOOKUP(H94,Dados!$B$2:$E$50,4,0)</f>
        <v>98</v>
      </c>
    </row>
    <row r="95" spans="1:10" ht="91.2" hidden="1" x14ac:dyDescent="0.2">
      <c r="A95" s="76" t="s">
        <v>58</v>
      </c>
      <c r="B95" s="70" t="s">
        <v>110</v>
      </c>
      <c r="C95" s="70" t="s">
        <v>84</v>
      </c>
      <c r="D95" s="71" t="s">
        <v>1001</v>
      </c>
      <c r="E95" s="76" t="s">
        <v>112</v>
      </c>
      <c r="F95" s="78" t="s">
        <v>380</v>
      </c>
      <c r="G95" s="87" t="s">
        <v>1051</v>
      </c>
      <c r="H95" s="69" t="s">
        <v>370</v>
      </c>
      <c r="I95" s="112">
        <f>VLOOKUP(H95,Dados!$B$2:$C$50,2,0)</f>
        <v>10</v>
      </c>
      <c r="J95" s="111">
        <f>VLOOKUP(H95,Dados!$B$2:$E$50,4,0)</f>
        <v>98</v>
      </c>
    </row>
    <row r="96" spans="1:10" ht="91.2" hidden="1" x14ac:dyDescent="0.2">
      <c r="A96" s="76" t="s">
        <v>39</v>
      </c>
      <c r="B96" s="70" t="s">
        <v>7</v>
      </c>
      <c r="C96" s="70" t="s">
        <v>140</v>
      </c>
      <c r="D96" s="77" t="s">
        <v>470</v>
      </c>
      <c r="E96" s="76" t="s">
        <v>8</v>
      </c>
      <c r="F96" s="78" t="s">
        <v>381</v>
      </c>
      <c r="G96" s="87" t="s">
        <v>627</v>
      </c>
      <c r="H96" s="69" t="s">
        <v>370</v>
      </c>
      <c r="I96" s="112">
        <f>VLOOKUP(H96,Dados!$B$2:$C$50,2,0)</f>
        <v>10</v>
      </c>
      <c r="J96" s="111">
        <f>VLOOKUP(H96,Dados!$B$2:$E$50,4,0)</f>
        <v>98</v>
      </c>
    </row>
    <row r="97" spans="1:10" ht="148.19999999999999" hidden="1" x14ac:dyDescent="0.2">
      <c r="A97" s="76" t="s">
        <v>39</v>
      </c>
      <c r="B97" s="70" t="s">
        <v>99</v>
      </c>
      <c r="C97" s="70" t="s">
        <v>140</v>
      </c>
      <c r="D97" s="77" t="s">
        <v>471</v>
      </c>
      <c r="E97" s="76" t="s">
        <v>102</v>
      </c>
      <c r="F97" s="78" t="s">
        <v>381</v>
      </c>
      <c r="G97" s="87" t="s">
        <v>747</v>
      </c>
      <c r="H97" s="69" t="s">
        <v>370</v>
      </c>
      <c r="I97" s="112">
        <f>VLOOKUP(H97,Dados!$B$2:$C$50,2,0)</f>
        <v>10</v>
      </c>
      <c r="J97" s="111">
        <f>VLOOKUP(H97,Dados!$B$2:$E$50,4,0)</f>
        <v>98</v>
      </c>
    </row>
    <row r="98" spans="1:10" ht="125.4" x14ac:dyDescent="0.2">
      <c r="A98" s="76" t="s">
        <v>39</v>
      </c>
      <c r="B98" s="70" t="s">
        <v>99</v>
      </c>
      <c r="C98" s="70" t="s">
        <v>157</v>
      </c>
      <c r="D98" s="77" t="s">
        <v>310</v>
      </c>
      <c r="E98" s="76" t="s">
        <v>112</v>
      </c>
      <c r="F98" s="78" t="s">
        <v>381</v>
      </c>
      <c r="G98" s="87" t="s">
        <v>738</v>
      </c>
      <c r="H98" s="69" t="s">
        <v>386</v>
      </c>
      <c r="I98" s="112">
        <f>VLOOKUP(H98,Dados!$B$2:$C$50,2,0)</f>
        <v>9</v>
      </c>
      <c r="J98" s="111">
        <f>VLOOKUP(H98,Dados!$B$2:$E$50,4,0)</f>
        <v>88</v>
      </c>
    </row>
    <row r="99" spans="1:10" ht="114" hidden="1" x14ac:dyDescent="0.2">
      <c r="A99" s="69" t="s">
        <v>58</v>
      </c>
      <c r="B99" s="69" t="s">
        <v>472</v>
      </c>
      <c r="C99" s="69" t="s">
        <v>140</v>
      </c>
      <c r="D99" s="71" t="s">
        <v>1083</v>
      </c>
      <c r="E99" s="70" t="s">
        <v>127</v>
      </c>
      <c r="F99" s="78" t="s">
        <v>381</v>
      </c>
      <c r="G99" s="86" t="s">
        <v>1084</v>
      </c>
      <c r="H99" s="69" t="s">
        <v>369</v>
      </c>
      <c r="I99" s="112" t="e">
        <f>VLOOKUP(H99,Dados!$B$2:$C$50,2,0)</f>
        <v>#N/A</v>
      </c>
      <c r="J99" s="111" t="e">
        <f>VLOOKUP(H99,Dados!$B$2:$E$50,4,0)</f>
        <v>#N/A</v>
      </c>
    </row>
    <row r="100" spans="1:10" ht="159.6" hidden="1" x14ac:dyDescent="0.2">
      <c r="A100" s="69" t="s">
        <v>58</v>
      </c>
      <c r="B100" s="69" t="s">
        <v>241</v>
      </c>
      <c r="C100" s="69" t="s">
        <v>140</v>
      </c>
      <c r="D100" s="71" t="s">
        <v>242</v>
      </c>
      <c r="E100" s="70" t="s">
        <v>188</v>
      </c>
      <c r="F100" s="78" t="s">
        <v>381</v>
      </c>
      <c r="G100" s="86" t="s">
        <v>1092</v>
      </c>
      <c r="H100" s="69" t="s">
        <v>370</v>
      </c>
      <c r="I100" s="112">
        <f>VLOOKUP(H100,Dados!$B$2:$C$50,2,0)</f>
        <v>10</v>
      </c>
      <c r="J100" s="111">
        <f>VLOOKUP(H100,Dados!$B$2:$E$50,4,0)</f>
        <v>98</v>
      </c>
    </row>
    <row r="101" spans="1:10" ht="148.19999999999999" hidden="1" x14ac:dyDescent="0.2">
      <c r="A101" s="69" t="s">
        <v>17</v>
      </c>
      <c r="B101" s="69" t="s">
        <v>473</v>
      </c>
      <c r="C101" s="69" t="s">
        <v>140</v>
      </c>
      <c r="D101" s="71" t="s">
        <v>346</v>
      </c>
      <c r="E101" s="70" t="s">
        <v>210</v>
      </c>
      <c r="F101" s="78" t="s">
        <v>381</v>
      </c>
      <c r="G101" s="86" t="s">
        <v>982</v>
      </c>
      <c r="H101" s="69" t="s">
        <v>370</v>
      </c>
      <c r="I101" s="112">
        <f>VLOOKUP(H101,Dados!$B$2:$C$50,2,0)</f>
        <v>10</v>
      </c>
      <c r="J101" s="111">
        <f>VLOOKUP(H101,Dados!$B$2:$E$50,4,0)</f>
        <v>98</v>
      </c>
    </row>
    <row r="102" spans="1:10" ht="159.6" hidden="1" x14ac:dyDescent="0.2">
      <c r="A102" s="69" t="s">
        <v>17</v>
      </c>
      <c r="B102" s="69" t="s">
        <v>309</v>
      </c>
      <c r="C102" s="69" t="s">
        <v>140</v>
      </c>
      <c r="D102" s="71" t="s">
        <v>474</v>
      </c>
      <c r="E102" s="70" t="s">
        <v>112</v>
      </c>
      <c r="F102" s="75" t="s">
        <v>381</v>
      </c>
      <c r="G102" s="86" t="s">
        <v>1224</v>
      </c>
      <c r="H102" s="69" t="s">
        <v>370</v>
      </c>
      <c r="I102" s="112">
        <f>VLOOKUP(H102,Dados!$B$2:$C$50,2,0)</f>
        <v>10</v>
      </c>
      <c r="J102" s="111">
        <f>VLOOKUP(H102,Dados!$B$2:$E$50,4,0)</f>
        <v>98</v>
      </c>
    </row>
    <row r="103" spans="1:10" ht="182.4" hidden="1" x14ac:dyDescent="0.2">
      <c r="A103" s="69" t="s">
        <v>17</v>
      </c>
      <c r="B103" s="69" t="s">
        <v>475</v>
      </c>
      <c r="C103" s="69" t="s">
        <v>140</v>
      </c>
      <c r="D103" s="71" t="s">
        <v>476</v>
      </c>
      <c r="E103" s="70" t="s">
        <v>155</v>
      </c>
      <c r="F103" s="75" t="s">
        <v>381</v>
      </c>
      <c r="G103" s="86" t="s">
        <v>944</v>
      </c>
      <c r="H103" s="69" t="s">
        <v>370</v>
      </c>
      <c r="I103" s="112">
        <f>VLOOKUP(H103,Dados!$B$2:$C$50,2,0)</f>
        <v>10</v>
      </c>
      <c r="J103" s="111">
        <f>VLOOKUP(H103,Dados!$B$2:$E$50,4,0)</f>
        <v>98</v>
      </c>
    </row>
    <row r="104" spans="1:10" ht="159.6" hidden="1" x14ac:dyDescent="0.2">
      <c r="A104" s="69" t="s">
        <v>10</v>
      </c>
      <c r="B104" s="69" t="s">
        <v>113</v>
      </c>
      <c r="C104" s="69" t="s">
        <v>140</v>
      </c>
      <c r="D104" s="71" t="s">
        <v>477</v>
      </c>
      <c r="E104" s="70" t="s">
        <v>478</v>
      </c>
      <c r="F104" s="75" t="s">
        <v>381</v>
      </c>
      <c r="G104" s="86" t="s">
        <v>981</v>
      </c>
      <c r="H104" s="69" t="s">
        <v>370</v>
      </c>
      <c r="I104" s="112">
        <f>VLOOKUP(H104,Dados!$B$2:$C$50,2,0)</f>
        <v>10</v>
      </c>
      <c r="J104" s="111">
        <f>VLOOKUP(H104,Dados!$B$2:$E$50,4,0)</f>
        <v>98</v>
      </c>
    </row>
    <row r="105" spans="1:10" ht="148.19999999999999" hidden="1" x14ac:dyDescent="0.2">
      <c r="A105" s="69" t="s">
        <v>10</v>
      </c>
      <c r="B105" s="69" t="s">
        <v>479</v>
      </c>
      <c r="C105" s="69" t="s">
        <v>140</v>
      </c>
      <c r="D105" s="71" t="s">
        <v>158</v>
      </c>
      <c r="E105" s="70" t="s">
        <v>67</v>
      </c>
      <c r="F105" s="75" t="s">
        <v>381</v>
      </c>
      <c r="G105" s="86" t="s">
        <v>1273</v>
      </c>
      <c r="H105" s="69" t="s">
        <v>370</v>
      </c>
      <c r="I105" s="112">
        <f>VLOOKUP(H105,Dados!$B$2:$C$50,2,0)</f>
        <v>10</v>
      </c>
      <c r="J105" s="111">
        <f>VLOOKUP(H105,Dados!$B$2:$E$50,4,0)</f>
        <v>98</v>
      </c>
    </row>
    <row r="106" spans="1:10" ht="136.80000000000001" x14ac:dyDescent="0.2">
      <c r="A106" s="69" t="s">
        <v>10</v>
      </c>
      <c r="B106" s="69" t="s">
        <v>40</v>
      </c>
      <c r="C106" s="69" t="s">
        <v>140</v>
      </c>
      <c r="D106" s="71" t="s">
        <v>480</v>
      </c>
      <c r="E106" s="70" t="s">
        <v>43</v>
      </c>
      <c r="F106" s="75" t="s">
        <v>381</v>
      </c>
      <c r="G106" s="86" t="s">
        <v>1089</v>
      </c>
      <c r="H106" s="69" t="s">
        <v>386</v>
      </c>
      <c r="I106" s="112">
        <f>VLOOKUP(H106,Dados!$B$2:$C$50,2,0)</f>
        <v>9</v>
      </c>
      <c r="J106" s="111">
        <f>VLOOKUP(H106,Dados!$B$2:$E$50,4,0)</f>
        <v>88</v>
      </c>
    </row>
    <row r="107" spans="1:10" ht="22.8" hidden="1" x14ac:dyDescent="0.2">
      <c r="A107" s="69" t="s">
        <v>22</v>
      </c>
      <c r="B107" s="69" t="s">
        <v>481</v>
      </c>
      <c r="C107" s="69" t="s">
        <v>483</v>
      </c>
      <c r="D107" s="71" t="s">
        <v>482</v>
      </c>
      <c r="E107" s="70" t="s">
        <v>484</v>
      </c>
      <c r="F107" s="75" t="s">
        <v>401</v>
      </c>
      <c r="G107" s="86" t="s">
        <v>485</v>
      </c>
      <c r="H107" s="69" t="s">
        <v>370</v>
      </c>
      <c r="I107" s="112">
        <f>VLOOKUP(H107,Dados!$B$2:$C$50,2,0)</f>
        <v>10</v>
      </c>
      <c r="J107" s="111">
        <f>VLOOKUP(H107,Dados!$B$2:$E$50,4,0)</f>
        <v>98</v>
      </c>
    </row>
    <row r="108" spans="1:10" ht="22.8" hidden="1" x14ac:dyDescent="0.2">
      <c r="A108" s="69" t="s">
        <v>22</v>
      </c>
      <c r="B108" s="69" t="s">
        <v>486</v>
      </c>
      <c r="C108" s="69" t="s">
        <v>487</v>
      </c>
      <c r="D108" s="71" t="s">
        <v>488</v>
      </c>
      <c r="E108" s="70" t="s">
        <v>32</v>
      </c>
      <c r="F108" s="75" t="s">
        <v>401</v>
      </c>
      <c r="G108" s="86" t="s">
        <v>485</v>
      </c>
      <c r="H108" s="69" t="s">
        <v>370</v>
      </c>
      <c r="I108" s="112">
        <f>VLOOKUP(H108,Dados!$B$2:$C$50,2,0)</f>
        <v>10</v>
      </c>
      <c r="J108" s="111">
        <f>VLOOKUP(H108,Dados!$B$2:$E$50,4,0)</f>
        <v>98</v>
      </c>
    </row>
    <row r="109" spans="1:10" ht="45.6" hidden="1" x14ac:dyDescent="0.2">
      <c r="A109" s="69" t="s">
        <v>39</v>
      </c>
      <c r="B109" s="69" t="s">
        <v>495</v>
      </c>
      <c r="C109" s="69" t="s">
        <v>496</v>
      </c>
      <c r="D109" s="71" t="s">
        <v>494</v>
      </c>
      <c r="E109" s="70" t="s">
        <v>77</v>
      </c>
      <c r="F109" s="75" t="s">
        <v>400</v>
      </c>
      <c r="G109" s="86" t="s">
        <v>542</v>
      </c>
      <c r="H109" s="69" t="s">
        <v>370</v>
      </c>
      <c r="I109" s="112">
        <f>VLOOKUP(H109,Dados!$B$2:$C$50,2,0)</f>
        <v>10</v>
      </c>
      <c r="J109" s="111">
        <f>VLOOKUP(H109,Dados!$B$2:$E$50,4,0)</f>
        <v>98</v>
      </c>
    </row>
    <row r="110" spans="1:10" ht="22.8" hidden="1" x14ac:dyDescent="0.2">
      <c r="A110" s="69" t="s">
        <v>22</v>
      </c>
      <c r="B110" s="69" t="s">
        <v>500</v>
      </c>
      <c r="C110" s="69" t="s">
        <v>501</v>
      </c>
      <c r="D110" s="71" t="s">
        <v>502</v>
      </c>
      <c r="E110" s="70" t="s">
        <v>32</v>
      </c>
      <c r="F110" s="75" t="s">
        <v>401</v>
      </c>
      <c r="G110" s="86" t="s">
        <v>497</v>
      </c>
      <c r="H110" s="69" t="s">
        <v>370</v>
      </c>
      <c r="I110" s="112">
        <f>VLOOKUP(H110,Dados!$B$2:$C$50,2,0)</f>
        <v>10</v>
      </c>
      <c r="J110" s="111">
        <f>VLOOKUP(H110,Dados!$B$2:$E$50,4,0)</f>
        <v>98</v>
      </c>
    </row>
    <row r="111" spans="1:10" ht="22.8" hidden="1" x14ac:dyDescent="0.2">
      <c r="A111" s="69" t="s">
        <v>22</v>
      </c>
      <c r="B111" s="69" t="s">
        <v>503</v>
      </c>
      <c r="C111" s="69" t="s">
        <v>504</v>
      </c>
      <c r="D111" s="71" t="s">
        <v>505</v>
      </c>
      <c r="E111" s="70" t="s">
        <v>67</v>
      </c>
      <c r="F111" s="75" t="s">
        <v>401</v>
      </c>
      <c r="G111" s="86" t="s">
        <v>497</v>
      </c>
      <c r="H111" s="69" t="s">
        <v>370</v>
      </c>
      <c r="I111" s="112">
        <f>VLOOKUP(H111,Dados!$B$2:$C$50,2,0)</f>
        <v>10</v>
      </c>
      <c r="J111" s="111">
        <f>VLOOKUP(H111,Dados!$B$2:$E$50,4,0)</f>
        <v>98</v>
      </c>
    </row>
    <row r="112" spans="1:10" ht="45.6" hidden="1" x14ac:dyDescent="0.2">
      <c r="A112" s="69" t="s">
        <v>58</v>
      </c>
      <c r="B112" s="69" t="s">
        <v>330</v>
      </c>
      <c r="C112" s="69" t="s">
        <v>507</v>
      </c>
      <c r="D112" s="71" t="s">
        <v>506</v>
      </c>
      <c r="E112" s="70" t="s">
        <v>16</v>
      </c>
      <c r="F112" s="75" t="s">
        <v>400</v>
      </c>
      <c r="G112" s="86" t="s">
        <v>575</v>
      </c>
      <c r="H112" s="69" t="s">
        <v>370</v>
      </c>
      <c r="I112" s="112">
        <f>VLOOKUP(H112,Dados!$B$2:$C$50,2,0)</f>
        <v>10</v>
      </c>
      <c r="J112" s="111">
        <f>VLOOKUP(H112,Dados!$B$2:$E$50,4,0)</f>
        <v>98</v>
      </c>
    </row>
    <row r="113" spans="1:10" ht="34.200000000000003" hidden="1" x14ac:dyDescent="0.2">
      <c r="A113" s="69" t="s">
        <v>22</v>
      </c>
      <c r="B113" s="69" t="s">
        <v>510</v>
      </c>
      <c r="C113" s="69" t="s">
        <v>511</v>
      </c>
      <c r="D113" s="71" t="s">
        <v>512</v>
      </c>
      <c r="E113" s="70" t="s">
        <v>32</v>
      </c>
      <c r="F113" s="75" t="s">
        <v>401</v>
      </c>
      <c r="G113" s="86" t="s">
        <v>513</v>
      </c>
      <c r="H113" s="69" t="s">
        <v>370</v>
      </c>
      <c r="I113" s="112">
        <f>VLOOKUP(H113,Dados!$B$2:$C$50,2,0)</f>
        <v>10</v>
      </c>
      <c r="J113" s="111">
        <f>VLOOKUP(H113,Dados!$B$2:$E$50,4,0)</f>
        <v>98</v>
      </c>
    </row>
    <row r="114" spans="1:10" ht="34.200000000000003" hidden="1" x14ac:dyDescent="0.2">
      <c r="A114" s="69" t="s">
        <v>22</v>
      </c>
      <c r="B114" s="69" t="s">
        <v>515</v>
      </c>
      <c r="C114" s="69" t="s">
        <v>516</v>
      </c>
      <c r="D114" s="71" t="s">
        <v>514</v>
      </c>
      <c r="E114" s="70" t="s">
        <v>132</v>
      </c>
      <c r="F114" s="75" t="s">
        <v>401</v>
      </c>
      <c r="G114" s="86" t="s">
        <v>513</v>
      </c>
      <c r="H114" s="69" t="s">
        <v>370</v>
      </c>
      <c r="I114" s="112">
        <f>VLOOKUP(H114,Dados!$B$2:$C$50,2,0)</f>
        <v>10</v>
      </c>
      <c r="J114" s="111">
        <f>VLOOKUP(H114,Dados!$B$2:$E$50,4,0)</f>
        <v>98</v>
      </c>
    </row>
    <row r="115" spans="1:10" ht="68.400000000000006" hidden="1" x14ac:dyDescent="0.2">
      <c r="A115" s="69" t="s">
        <v>39</v>
      </c>
      <c r="B115" s="69" t="s">
        <v>517</v>
      </c>
      <c r="C115" s="69" t="s">
        <v>84</v>
      </c>
      <c r="D115" s="71" t="s">
        <v>518</v>
      </c>
      <c r="E115" s="70" t="s">
        <v>67</v>
      </c>
      <c r="F115" s="75" t="s">
        <v>400</v>
      </c>
      <c r="G115" s="86" t="s">
        <v>552</v>
      </c>
      <c r="H115" s="69" t="s">
        <v>370</v>
      </c>
      <c r="I115" s="112">
        <f>VLOOKUP(H115,Dados!$B$2:$C$50,2,0)</f>
        <v>10</v>
      </c>
      <c r="J115" s="111">
        <f>VLOOKUP(H115,Dados!$B$2:$E$50,4,0)</f>
        <v>98</v>
      </c>
    </row>
    <row r="116" spans="1:10" ht="136.80000000000001" hidden="1" x14ac:dyDescent="0.2">
      <c r="A116" s="69" t="s">
        <v>39</v>
      </c>
      <c r="B116" s="69" t="s">
        <v>524</v>
      </c>
      <c r="C116" s="69" t="s">
        <v>84</v>
      </c>
      <c r="D116" s="71" t="s">
        <v>522</v>
      </c>
      <c r="E116" s="70" t="s">
        <v>210</v>
      </c>
      <c r="F116" s="75" t="s">
        <v>379</v>
      </c>
      <c r="G116" s="86" t="s">
        <v>753</v>
      </c>
      <c r="H116" s="69" t="s">
        <v>370</v>
      </c>
      <c r="I116" s="112">
        <f>VLOOKUP(H116,Dados!$B$2:$C$50,2,0)</f>
        <v>10</v>
      </c>
      <c r="J116" s="111">
        <f>VLOOKUP(H116,Dados!$B$2:$E$50,4,0)</f>
        <v>98</v>
      </c>
    </row>
    <row r="117" spans="1:10" ht="45.6" hidden="1" x14ac:dyDescent="0.2">
      <c r="A117" s="69" t="s">
        <v>17</v>
      </c>
      <c r="B117" s="69" t="s">
        <v>528</v>
      </c>
      <c r="C117" s="69" t="s">
        <v>526</v>
      </c>
      <c r="D117" s="71" t="s">
        <v>527</v>
      </c>
      <c r="E117" s="70" t="s">
        <v>16</v>
      </c>
      <c r="F117" s="75" t="s">
        <v>400</v>
      </c>
      <c r="G117" s="86" t="s">
        <v>889</v>
      </c>
      <c r="H117" s="69" t="s">
        <v>370</v>
      </c>
      <c r="I117" s="112">
        <f>VLOOKUP(H117,Dados!$B$2:$C$50,2,0)</f>
        <v>10</v>
      </c>
      <c r="J117" s="111">
        <f>VLOOKUP(H117,Dados!$B$2:$E$50,4,0)</f>
        <v>98</v>
      </c>
    </row>
    <row r="118" spans="1:10" ht="125.4" hidden="1" x14ac:dyDescent="0.2">
      <c r="A118" s="69" t="s">
        <v>10</v>
      </c>
      <c r="B118" s="69" t="s">
        <v>241</v>
      </c>
      <c r="C118" s="69" t="s">
        <v>140</v>
      </c>
      <c r="D118" s="71" t="s">
        <v>242</v>
      </c>
      <c r="E118" s="70" t="s">
        <v>188</v>
      </c>
      <c r="F118" s="75" t="s">
        <v>379</v>
      </c>
      <c r="G118" s="86" t="s">
        <v>857</v>
      </c>
      <c r="H118" s="69" t="s">
        <v>370</v>
      </c>
      <c r="I118" s="112">
        <f>VLOOKUP(H118,Dados!$B$2:$C$50,2,0)</f>
        <v>10</v>
      </c>
      <c r="J118" s="111">
        <f>VLOOKUP(H118,Dados!$B$2:$E$50,4,0)</f>
        <v>98</v>
      </c>
    </row>
    <row r="119" spans="1:10" ht="45.6" hidden="1" x14ac:dyDescent="0.2">
      <c r="A119" s="69" t="s">
        <v>10</v>
      </c>
      <c r="B119" s="69" t="s">
        <v>536</v>
      </c>
      <c r="C119" s="69" t="s">
        <v>537</v>
      </c>
      <c r="D119" s="71" t="s">
        <v>538</v>
      </c>
      <c r="E119" s="70" t="s">
        <v>360</v>
      </c>
      <c r="F119" s="75" t="s">
        <v>400</v>
      </c>
      <c r="G119" s="86" t="s">
        <v>576</v>
      </c>
      <c r="H119" s="69" t="s">
        <v>370</v>
      </c>
      <c r="I119" s="112">
        <f>VLOOKUP(H119,Dados!$B$2:$C$50,2,0)</f>
        <v>10</v>
      </c>
      <c r="J119" s="111">
        <f>VLOOKUP(H119,Dados!$B$2:$E$50,4,0)</f>
        <v>98</v>
      </c>
    </row>
    <row r="120" spans="1:10" ht="57" hidden="1" x14ac:dyDescent="0.2">
      <c r="A120" s="69" t="s">
        <v>10</v>
      </c>
      <c r="B120" s="69" t="s">
        <v>541</v>
      </c>
      <c r="C120" s="69" t="s">
        <v>539</v>
      </c>
      <c r="D120" s="71" t="s">
        <v>540</v>
      </c>
      <c r="E120" s="70" t="s">
        <v>16</v>
      </c>
      <c r="F120" s="75" t="s">
        <v>400</v>
      </c>
      <c r="G120" s="86" t="s">
        <v>955</v>
      </c>
      <c r="H120" s="69" t="s">
        <v>369</v>
      </c>
      <c r="I120" s="112" t="e">
        <f>VLOOKUP(H120,Dados!$B$2:$C$50,2,0)</f>
        <v>#N/A</v>
      </c>
      <c r="J120" s="111" t="e">
        <f>VLOOKUP(H120,Dados!$B$2:$E$50,4,0)</f>
        <v>#N/A</v>
      </c>
    </row>
    <row r="121" spans="1:10" ht="57" hidden="1" x14ac:dyDescent="0.2">
      <c r="A121" s="69" t="s">
        <v>39</v>
      </c>
      <c r="B121" s="69" t="s">
        <v>548</v>
      </c>
      <c r="C121" s="69" t="s">
        <v>84</v>
      </c>
      <c r="D121" s="71" t="s">
        <v>1147</v>
      </c>
      <c r="E121" s="70" t="s">
        <v>547</v>
      </c>
      <c r="F121" s="75" t="s">
        <v>380</v>
      </c>
      <c r="G121" s="86" t="s">
        <v>589</v>
      </c>
      <c r="H121" s="69" t="s">
        <v>370</v>
      </c>
      <c r="I121" s="112">
        <f>VLOOKUP(H121,Dados!$B$2:$C$50,2,0)</f>
        <v>10</v>
      </c>
      <c r="J121" s="111">
        <f>VLOOKUP(H121,Dados!$B$2:$E$50,4,0)</f>
        <v>98</v>
      </c>
    </row>
    <row r="122" spans="1:10" ht="68.400000000000006" hidden="1" x14ac:dyDescent="0.2">
      <c r="A122" s="69" t="s">
        <v>17</v>
      </c>
      <c r="B122" s="69" t="s">
        <v>549</v>
      </c>
      <c r="C122" s="69" t="s">
        <v>550</v>
      </c>
      <c r="D122" s="71" t="s">
        <v>551</v>
      </c>
      <c r="E122" s="70" t="s">
        <v>164</v>
      </c>
      <c r="F122" s="75" t="s">
        <v>400</v>
      </c>
      <c r="G122" s="86" t="s">
        <v>890</v>
      </c>
      <c r="H122" s="69" t="s">
        <v>370</v>
      </c>
      <c r="I122" s="112">
        <f>VLOOKUP(H122,Dados!$B$2:$C$50,2,0)</f>
        <v>10</v>
      </c>
      <c r="J122" s="111">
        <f>VLOOKUP(H122,Dados!$B$2:$E$50,4,0)</f>
        <v>98</v>
      </c>
    </row>
    <row r="123" spans="1:10" ht="79.8" hidden="1" x14ac:dyDescent="0.2">
      <c r="A123" s="69" t="s">
        <v>39</v>
      </c>
      <c r="B123" s="69" t="s">
        <v>19</v>
      </c>
      <c r="C123" s="69" t="s">
        <v>554</v>
      </c>
      <c r="D123" s="71" t="s">
        <v>555</v>
      </c>
      <c r="E123" s="70" t="s">
        <v>16</v>
      </c>
      <c r="F123" s="75" t="s">
        <v>400</v>
      </c>
      <c r="G123" s="86" t="s">
        <v>582</v>
      </c>
      <c r="H123" s="69" t="s">
        <v>370</v>
      </c>
      <c r="I123" s="112">
        <f>VLOOKUP(H123,Dados!$B$2:$C$50,2,0)</f>
        <v>10</v>
      </c>
      <c r="J123" s="111">
        <f>VLOOKUP(H123,Dados!$B$2:$E$50,4,0)</f>
        <v>98</v>
      </c>
    </row>
    <row r="124" spans="1:10" ht="45.6" hidden="1" x14ac:dyDescent="0.2">
      <c r="A124" s="69" t="s">
        <v>17</v>
      </c>
      <c r="B124" s="69" t="s">
        <v>557</v>
      </c>
      <c r="C124" s="69" t="s">
        <v>558</v>
      </c>
      <c r="D124" s="71" t="s">
        <v>1165</v>
      </c>
      <c r="E124" s="70" t="s">
        <v>127</v>
      </c>
      <c r="F124" s="75" t="s">
        <v>400</v>
      </c>
      <c r="G124" s="86" t="s">
        <v>891</v>
      </c>
      <c r="H124" s="69" t="s">
        <v>370</v>
      </c>
      <c r="I124" s="112">
        <f>VLOOKUP(H124,Dados!$B$2:$C$50,2,0)</f>
        <v>10</v>
      </c>
      <c r="J124" s="111">
        <f>VLOOKUP(H124,Dados!$B$2:$E$50,4,0)</f>
        <v>98</v>
      </c>
    </row>
    <row r="125" spans="1:10" ht="159.6" x14ac:dyDescent="0.2">
      <c r="A125" s="69" t="s">
        <v>17</v>
      </c>
      <c r="B125" s="69" t="s">
        <v>7</v>
      </c>
      <c r="C125" s="69" t="s">
        <v>157</v>
      </c>
      <c r="D125" s="71" t="s">
        <v>470</v>
      </c>
      <c r="E125" s="70" t="s">
        <v>8</v>
      </c>
      <c r="F125" s="75" t="s">
        <v>380</v>
      </c>
      <c r="G125" s="86" t="s">
        <v>1223</v>
      </c>
      <c r="H125" s="69" t="s">
        <v>366</v>
      </c>
      <c r="I125" s="112">
        <f>VLOOKUP(H125,Dados!$B$2:$C$50,2,0)</f>
        <v>7</v>
      </c>
      <c r="J125" s="111">
        <f>VLOOKUP(H125,Dados!$B$2:$E$50,4,0)</f>
        <v>68</v>
      </c>
    </row>
    <row r="126" spans="1:10" ht="91.2" hidden="1" x14ac:dyDescent="0.2">
      <c r="A126" s="69" t="s">
        <v>10</v>
      </c>
      <c r="B126" s="69" t="s">
        <v>560</v>
      </c>
      <c r="C126" s="69" t="s">
        <v>84</v>
      </c>
      <c r="D126" s="71" t="s">
        <v>1104</v>
      </c>
      <c r="E126" s="70" t="s">
        <v>8</v>
      </c>
      <c r="F126" s="75" t="s">
        <v>380</v>
      </c>
      <c r="G126" s="86" t="s">
        <v>737</v>
      </c>
      <c r="H126" s="69" t="s">
        <v>370</v>
      </c>
      <c r="I126" s="112">
        <f>VLOOKUP(H126,Dados!$B$2:$C$50,2,0)</f>
        <v>10</v>
      </c>
      <c r="J126" s="111">
        <f>VLOOKUP(H126,Dados!$B$2:$E$50,4,0)</f>
        <v>98</v>
      </c>
    </row>
    <row r="127" spans="1:10" ht="125.4" hidden="1" x14ac:dyDescent="0.2">
      <c r="A127" s="69" t="s">
        <v>58</v>
      </c>
      <c r="B127" s="69" t="s">
        <v>564</v>
      </c>
      <c r="C127" s="69" t="s">
        <v>150</v>
      </c>
      <c r="D127" s="71" t="s">
        <v>561</v>
      </c>
      <c r="E127" s="70" t="s">
        <v>43</v>
      </c>
      <c r="F127" s="75" t="s">
        <v>379</v>
      </c>
      <c r="G127" s="86" t="s">
        <v>1309</v>
      </c>
      <c r="H127" s="69" t="s">
        <v>370</v>
      </c>
      <c r="I127" s="112">
        <f>VLOOKUP(H127,Dados!$B$2:$C$50,2,0)</f>
        <v>10</v>
      </c>
      <c r="J127" s="111">
        <f>VLOOKUP(H127,Dados!$B$2:$E$50,4,0)</f>
        <v>98</v>
      </c>
    </row>
    <row r="128" spans="1:10" ht="45.6" hidden="1" x14ac:dyDescent="0.2">
      <c r="A128" s="69" t="s">
        <v>10</v>
      </c>
      <c r="B128" s="69" t="s">
        <v>566</v>
      </c>
      <c r="C128" s="69" t="s">
        <v>84</v>
      </c>
      <c r="D128" s="71" t="s">
        <v>567</v>
      </c>
      <c r="E128" s="70" t="s">
        <v>278</v>
      </c>
      <c r="F128" s="75" t="s">
        <v>400</v>
      </c>
      <c r="G128" s="86" t="s">
        <v>639</v>
      </c>
      <c r="H128" s="69" t="s">
        <v>370</v>
      </c>
      <c r="I128" s="112">
        <f>VLOOKUP(H128,Dados!$B$2:$C$50,2,0)</f>
        <v>10</v>
      </c>
      <c r="J128" s="111">
        <f>VLOOKUP(H128,Dados!$B$2:$E$50,4,0)</f>
        <v>98</v>
      </c>
    </row>
    <row r="129" spans="1:10" ht="68.400000000000006" hidden="1" x14ac:dyDescent="0.2">
      <c r="A129" s="69" t="s">
        <v>58</v>
      </c>
      <c r="B129" s="69" t="s">
        <v>570</v>
      </c>
      <c r="C129" s="69" t="s">
        <v>571</v>
      </c>
      <c r="D129" s="71" t="s">
        <v>572</v>
      </c>
      <c r="E129" s="70" t="s">
        <v>77</v>
      </c>
      <c r="F129" s="75" t="s">
        <v>400</v>
      </c>
      <c r="G129" s="86" t="s">
        <v>602</v>
      </c>
      <c r="H129" s="69" t="s">
        <v>370</v>
      </c>
      <c r="I129" s="112">
        <f>VLOOKUP(H129,Dados!$B$2:$C$50,2,0)</f>
        <v>10</v>
      </c>
      <c r="J129" s="111">
        <f>VLOOKUP(H129,Dados!$B$2:$E$50,4,0)</f>
        <v>98</v>
      </c>
    </row>
    <row r="130" spans="1:10" ht="57" hidden="1" x14ac:dyDescent="0.2">
      <c r="A130" s="69" t="s">
        <v>39</v>
      </c>
      <c r="B130" s="69" t="s">
        <v>578</v>
      </c>
      <c r="C130" s="69" t="s">
        <v>579</v>
      </c>
      <c r="D130" s="71" t="s">
        <v>580</v>
      </c>
      <c r="E130" s="70" t="s">
        <v>581</v>
      </c>
      <c r="F130" s="75" t="s">
        <v>400</v>
      </c>
      <c r="G130" s="86" t="s">
        <v>583</v>
      </c>
      <c r="H130" s="69" t="s">
        <v>370</v>
      </c>
      <c r="I130" s="112">
        <f>VLOOKUP(H130,Dados!$B$2:$C$50,2,0)</f>
        <v>10</v>
      </c>
      <c r="J130" s="111">
        <f>VLOOKUP(H130,Dados!$B$2:$E$50,4,0)</f>
        <v>98</v>
      </c>
    </row>
    <row r="131" spans="1:10" ht="45.6" hidden="1" x14ac:dyDescent="0.2">
      <c r="A131" s="69" t="s">
        <v>58</v>
      </c>
      <c r="B131" s="69" t="s">
        <v>104</v>
      </c>
      <c r="C131" s="69" t="s">
        <v>105</v>
      </c>
      <c r="D131" s="71" t="s">
        <v>585</v>
      </c>
      <c r="E131" s="70" t="s">
        <v>43</v>
      </c>
      <c r="F131" s="75" t="s">
        <v>380</v>
      </c>
      <c r="G131" s="86" t="s">
        <v>643</v>
      </c>
      <c r="H131" s="69" t="s">
        <v>370</v>
      </c>
      <c r="I131" s="112">
        <f>VLOOKUP(H131,Dados!$B$2:$C$50,2,0)</f>
        <v>10</v>
      </c>
      <c r="J131" s="111">
        <f>VLOOKUP(H131,Dados!$B$2:$E$50,4,0)</f>
        <v>98</v>
      </c>
    </row>
    <row r="132" spans="1:10" ht="45.6" hidden="1" x14ac:dyDescent="0.2">
      <c r="A132" s="69" t="s">
        <v>17</v>
      </c>
      <c r="B132" s="69" t="s">
        <v>26</v>
      </c>
      <c r="C132" s="69" t="s">
        <v>587</v>
      </c>
      <c r="D132" s="71" t="s">
        <v>588</v>
      </c>
      <c r="E132" s="70" t="s">
        <v>16</v>
      </c>
      <c r="F132" s="75" t="s">
        <v>400</v>
      </c>
      <c r="G132" s="86" t="s">
        <v>892</v>
      </c>
      <c r="H132" s="69" t="s">
        <v>370</v>
      </c>
      <c r="I132" s="112">
        <f>VLOOKUP(H132,Dados!$B$2:$C$50,2,0)</f>
        <v>10</v>
      </c>
      <c r="J132" s="111">
        <f>VLOOKUP(H132,Dados!$B$2:$E$50,4,0)</f>
        <v>98</v>
      </c>
    </row>
    <row r="133" spans="1:10" ht="22.8" hidden="1" x14ac:dyDescent="0.2">
      <c r="A133" s="69" t="s">
        <v>10</v>
      </c>
      <c r="B133" s="69" t="s">
        <v>642</v>
      </c>
      <c r="C133" s="69" t="s">
        <v>591</v>
      </c>
      <c r="D133" s="71" t="s">
        <v>989</v>
      </c>
      <c r="E133" s="70" t="s">
        <v>592</v>
      </c>
      <c r="F133" s="75" t="s">
        <v>400</v>
      </c>
      <c r="G133" s="86" t="s">
        <v>703</v>
      </c>
      <c r="H133" s="69" t="s">
        <v>370</v>
      </c>
      <c r="I133" s="112">
        <f>VLOOKUP(H133,Dados!$B$2:$C$50,2,0)</f>
        <v>10</v>
      </c>
      <c r="J133" s="111">
        <f>VLOOKUP(H133,Dados!$B$2:$E$50,4,0)</f>
        <v>98</v>
      </c>
    </row>
    <row r="134" spans="1:10" ht="79.8" hidden="1" x14ac:dyDescent="0.2">
      <c r="A134" s="69" t="s">
        <v>58</v>
      </c>
      <c r="B134" s="69" t="s">
        <v>7</v>
      </c>
      <c r="C134" s="69" t="s">
        <v>157</v>
      </c>
      <c r="D134" s="71" t="s">
        <v>594</v>
      </c>
      <c r="E134" s="70" t="s">
        <v>8</v>
      </c>
      <c r="F134" s="75" t="s">
        <v>400</v>
      </c>
      <c r="G134" s="86" t="s">
        <v>650</v>
      </c>
      <c r="H134" s="69" t="s">
        <v>370</v>
      </c>
      <c r="I134" s="112">
        <f>VLOOKUP(H134,Dados!$B$2:$C$50,2,0)</f>
        <v>10</v>
      </c>
      <c r="J134" s="111">
        <f>VLOOKUP(H134,Dados!$B$2:$E$50,4,0)</f>
        <v>98</v>
      </c>
    </row>
    <row r="135" spans="1:10" ht="22.8" hidden="1" x14ac:dyDescent="0.2">
      <c r="A135" s="69" t="s">
        <v>22</v>
      </c>
      <c r="B135" s="69" t="s">
        <v>595</v>
      </c>
      <c r="C135" s="69" t="s">
        <v>596</v>
      </c>
      <c r="D135" s="71" t="s">
        <v>597</v>
      </c>
      <c r="E135" s="70" t="s">
        <v>102</v>
      </c>
      <c r="F135" s="75" t="s">
        <v>401</v>
      </c>
      <c r="G135" s="86" t="s">
        <v>598</v>
      </c>
      <c r="H135" s="69" t="s">
        <v>370</v>
      </c>
      <c r="I135" s="112">
        <f>VLOOKUP(H135,Dados!$B$2:$C$50,2,0)</f>
        <v>10</v>
      </c>
      <c r="J135" s="111">
        <f>VLOOKUP(H135,Dados!$B$2:$E$50,4,0)</f>
        <v>98</v>
      </c>
    </row>
    <row r="136" spans="1:10" ht="22.8" hidden="1" x14ac:dyDescent="0.2">
      <c r="A136" s="69" t="s">
        <v>22</v>
      </c>
      <c r="B136" s="69" t="s">
        <v>599</v>
      </c>
      <c r="C136" s="69" t="s">
        <v>600</v>
      </c>
      <c r="D136" s="71" t="s">
        <v>601</v>
      </c>
      <c r="E136" s="70" t="s">
        <v>164</v>
      </c>
      <c r="F136" s="75" t="s">
        <v>401</v>
      </c>
      <c r="G136" s="86" t="s">
        <v>598</v>
      </c>
      <c r="H136" s="69" t="s">
        <v>370</v>
      </c>
      <c r="I136" s="112">
        <f>VLOOKUP(H136,Dados!$B$2:$C$50,2,0)</f>
        <v>10</v>
      </c>
      <c r="J136" s="111">
        <f>VLOOKUP(H136,Dados!$B$2:$E$50,4,0)</f>
        <v>98</v>
      </c>
    </row>
    <row r="137" spans="1:10" ht="22.8" hidden="1" x14ac:dyDescent="0.2">
      <c r="A137" s="69" t="s">
        <v>22</v>
      </c>
      <c r="B137" s="69" t="s">
        <v>604</v>
      </c>
      <c r="C137" s="69" t="s">
        <v>605</v>
      </c>
      <c r="D137" s="71" t="s">
        <v>606</v>
      </c>
      <c r="E137" s="70" t="s">
        <v>32</v>
      </c>
      <c r="F137" s="75" t="s">
        <v>401</v>
      </c>
      <c r="G137" s="86" t="s">
        <v>607</v>
      </c>
      <c r="H137" s="69" t="s">
        <v>370</v>
      </c>
      <c r="I137" s="112">
        <f>VLOOKUP(H137,Dados!$B$2:$C$50,2,0)</f>
        <v>10</v>
      </c>
      <c r="J137" s="111">
        <f>VLOOKUP(H137,Dados!$B$2:$E$50,4,0)</f>
        <v>98</v>
      </c>
    </row>
    <row r="138" spans="1:10" ht="22.8" hidden="1" x14ac:dyDescent="0.2">
      <c r="A138" s="69" t="s">
        <v>22</v>
      </c>
      <c r="B138" s="69" t="s">
        <v>608</v>
      </c>
      <c r="C138" s="69" t="s">
        <v>609</v>
      </c>
      <c r="D138" s="71" t="s">
        <v>610</v>
      </c>
      <c r="E138" s="70" t="s">
        <v>210</v>
      </c>
      <c r="F138" s="75" t="s">
        <v>401</v>
      </c>
      <c r="G138" s="86" t="s">
        <v>611</v>
      </c>
      <c r="H138" s="69" t="s">
        <v>370</v>
      </c>
      <c r="I138" s="112">
        <f>VLOOKUP(H138,Dados!$B$2:$C$50,2,0)</f>
        <v>10</v>
      </c>
      <c r="J138" s="111">
        <f>VLOOKUP(H138,Dados!$B$2:$E$50,4,0)</f>
        <v>98</v>
      </c>
    </row>
    <row r="139" spans="1:10" ht="57" hidden="1" x14ac:dyDescent="0.2">
      <c r="A139" s="69" t="s">
        <v>39</v>
      </c>
      <c r="B139" s="69" t="s">
        <v>224</v>
      </c>
      <c r="C139" s="69" t="s">
        <v>225</v>
      </c>
      <c r="D139" s="71" t="s">
        <v>226</v>
      </c>
      <c r="E139" s="69" t="s">
        <v>112</v>
      </c>
      <c r="F139" s="75" t="s">
        <v>380</v>
      </c>
      <c r="G139" s="86" t="s">
        <v>629</v>
      </c>
      <c r="H139" s="69" t="s">
        <v>370</v>
      </c>
      <c r="I139" s="112">
        <f>VLOOKUP(H139,Dados!$B$2:$C$50,2,0)</f>
        <v>10</v>
      </c>
      <c r="J139" s="111">
        <f>VLOOKUP(H139,Dados!$B$2:$E$50,4,0)</f>
        <v>98</v>
      </c>
    </row>
    <row r="140" spans="1:10" ht="22.8" hidden="1" x14ac:dyDescent="0.2">
      <c r="A140" s="69" t="s">
        <v>22</v>
      </c>
      <c r="B140" s="69" t="s">
        <v>616</v>
      </c>
      <c r="C140" s="69" t="s">
        <v>617</v>
      </c>
      <c r="D140" s="71" t="s">
        <v>618</v>
      </c>
      <c r="E140" s="70" t="s">
        <v>32</v>
      </c>
      <c r="F140" s="75" t="s">
        <v>401</v>
      </c>
      <c r="G140" s="86" t="s">
        <v>619</v>
      </c>
      <c r="H140" s="69" t="s">
        <v>370</v>
      </c>
      <c r="I140" s="112">
        <f>VLOOKUP(H140,Dados!$B$2:$C$50,2,0)</f>
        <v>10</v>
      </c>
      <c r="J140" s="111">
        <f>VLOOKUP(H140,Dados!$B$2:$E$50,4,0)</f>
        <v>98</v>
      </c>
    </row>
    <row r="141" spans="1:10" ht="136.80000000000001" hidden="1" x14ac:dyDescent="0.2">
      <c r="A141" s="69" t="s">
        <v>17</v>
      </c>
      <c r="B141" s="69" t="s">
        <v>626</v>
      </c>
      <c r="C141" s="69" t="s">
        <v>109</v>
      </c>
      <c r="D141" s="71" t="s">
        <v>624</v>
      </c>
      <c r="E141" s="70" t="s">
        <v>625</v>
      </c>
      <c r="F141" s="75" t="s">
        <v>381</v>
      </c>
      <c r="G141" s="86" t="s">
        <v>912</v>
      </c>
      <c r="H141" s="69" t="s">
        <v>370</v>
      </c>
      <c r="I141" s="112">
        <f>VLOOKUP(H141,Dados!$B$2:$C$50,2,0)</f>
        <v>10</v>
      </c>
      <c r="J141" s="111">
        <f>VLOOKUP(H141,Dados!$B$2:$E$50,4,0)</f>
        <v>98</v>
      </c>
    </row>
    <row r="142" spans="1:10" ht="91.2" hidden="1" x14ac:dyDescent="0.2">
      <c r="A142" s="69" t="s">
        <v>58</v>
      </c>
      <c r="B142" s="69" t="s">
        <v>14</v>
      </c>
      <c r="C142" s="69" t="s">
        <v>631</v>
      </c>
      <c r="D142" s="71" t="s">
        <v>632</v>
      </c>
      <c r="E142" s="70" t="s">
        <v>16</v>
      </c>
      <c r="F142" s="75" t="s">
        <v>381</v>
      </c>
      <c r="G142" s="86" t="s">
        <v>757</v>
      </c>
      <c r="H142" s="69" t="s">
        <v>370</v>
      </c>
      <c r="I142" s="112">
        <f>VLOOKUP(H142,Dados!$B$2:$C$50,2,0)</f>
        <v>10</v>
      </c>
      <c r="J142" s="111">
        <f>VLOOKUP(H142,Dados!$B$2:$E$50,4,0)</f>
        <v>98</v>
      </c>
    </row>
    <row r="143" spans="1:10" ht="102.6" hidden="1" x14ac:dyDescent="0.2">
      <c r="A143" s="69" t="s">
        <v>39</v>
      </c>
      <c r="B143" s="69" t="s">
        <v>635</v>
      </c>
      <c r="C143" s="69" t="s">
        <v>84</v>
      </c>
      <c r="D143" s="71" t="s">
        <v>636</v>
      </c>
      <c r="E143" s="70" t="s">
        <v>86</v>
      </c>
      <c r="F143" s="75" t="s">
        <v>400</v>
      </c>
      <c r="G143" s="86" t="s">
        <v>732</v>
      </c>
      <c r="H143" s="69" t="s">
        <v>370</v>
      </c>
      <c r="I143" s="112">
        <f>VLOOKUP(H143,Dados!$B$2:$C$50,2,0)</f>
        <v>10</v>
      </c>
      <c r="J143" s="111">
        <f>VLOOKUP(H143,Dados!$B$2:$E$50,4,0)</f>
        <v>98</v>
      </c>
    </row>
    <row r="144" spans="1:10" ht="205.2" hidden="1" x14ac:dyDescent="0.2">
      <c r="A144" s="69" t="s">
        <v>17</v>
      </c>
      <c r="B144" s="69" t="s">
        <v>309</v>
      </c>
      <c r="C144" s="69" t="s">
        <v>140</v>
      </c>
      <c r="D144" s="71" t="s">
        <v>474</v>
      </c>
      <c r="E144" s="70" t="s">
        <v>112</v>
      </c>
      <c r="F144" s="75" t="s">
        <v>379</v>
      </c>
      <c r="G144" s="86" t="s">
        <v>1333</v>
      </c>
      <c r="H144" s="69" t="s">
        <v>369</v>
      </c>
      <c r="I144" s="112" t="e">
        <f>VLOOKUP(H144,Dados!$B$2:$C$50,2,0)</f>
        <v>#N/A</v>
      </c>
      <c r="J144" s="111" t="e">
        <f>VLOOKUP(H144,Dados!$B$2:$E$50,4,0)</f>
        <v>#N/A</v>
      </c>
    </row>
    <row r="145" spans="1:10" ht="22.8" hidden="1" x14ac:dyDescent="0.2">
      <c r="A145" s="69" t="s">
        <v>22</v>
      </c>
      <c r="B145" s="69" t="s">
        <v>644</v>
      </c>
      <c r="C145" s="69" t="s">
        <v>340</v>
      </c>
      <c r="D145" s="71" t="s">
        <v>645</v>
      </c>
      <c r="E145" s="70" t="s">
        <v>210</v>
      </c>
      <c r="F145" s="75" t="s">
        <v>401</v>
      </c>
      <c r="G145" s="86" t="s">
        <v>646</v>
      </c>
      <c r="H145" s="69" t="s">
        <v>370</v>
      </c>
      <c r="I145" s="112">
        <f>VLOOKUP(H145,Dados!$B$2:$C$50,2,0)</f>
        <v>10</v>
      </c>
      <c r="J145" s="111">
        <f>VLOOKUP(H145,Dados!$B$2:$E$50,4,0)</f>
        <v>98</v>
      </c>
    </row>
    <row r="146" spans="1:10" ht="22.8" hidden="1" x14ac:dyDescent="0.2">
      <c r="A146" s="69" t="s">
        <v>22</v>
      </c>
      <c r="B146" s="69" t="s">
        <v>647</v>
      </c>
      <c r="C146" s="69" t="s">
        <v>648</v>
      </c>
      <c r="D146" s="71" t="s">
        <v>649</v>
      </c>
      <c r="E146" s="70" t="s">
        <v>53</v>
      </c>
      <c r="F146" s="75" t="s">
        <v>401</v>
      </c>
      <c r="G146" s="86" t="s">
        <v>646</v>
      </c>
      <c r="H146" s="69" t="s">
        <v>370</v>
      </c>
      <c r="I146" s="112">
        <f>VLOOKUP(H146,Dados!$B$2:$C$50,2,0)</f>
        <v>10</v>
      </c>
      <c r="J146" s="111">
        <f>VLOOKUP(H146,Dados!$B$2:$E$50,4,0)</f>
        <v>98</v>
      </c>
    </row>
    <row r="147" spans="1:10" ht="136.80000000000001" hidden="1" x14ac:dyDescent="0.2">
      <c r="A147" s="69" t="s">
        <v>39</v>
      </c>
      <c r="B147" s="69" t="s">
        <v>78</v>
      </c>
      <c r="C147" s="69" t="s">
        <v>654</v>
      </c>
      <c r="D147" s="71" t="s">
        <v>1194</v>
      </c>
      <c r="E147" s="69" t="s">
        <v>222</v>
      </c>
      <c r="F147" s="75" t="s">
        <v>379</v>
      </c>
      <c r="G147" s="86" t="s">
        <v>1193</v>
      </c>
      <c r="H147" s="69" t="s">
        <v>370</v>
      </c>
      <c r="I147" s="112">
        <f>VLOOKUP(H147,Dados!$B$2:$C$50,2,0)</f>
        <v>10</v>
      </c>
      <c r="J147" s="111">
        <f>VLOOKUP(H147,Dados!$B$2:$E$50,4,0)</f>
        <v>98</v>
      </c>
    </row>
    <row r="148" spans="1:10" ht="22.8" hidden="1" x14ac:dyDescent="0.2">
      <c r="A148" s="69" t="s">
        <v>22</v>
      </c>
      <c r="B148" s="69" t="s">
        <v>655</v>
      </c>
      <c r="C148" s="69" t="s">
        <v>656</v>
      </c>
      <c r="D148" s="71" t="s">
        <v>657</v>
      </c>
      <c r="E148" s="70" t="s">
        <v>658</v>
      </c>
      <c r="F148" s="75" t="s">
        <v>401</v>
      </c>
      <c r="G148" s="86" t="s">
        <v>659</v>
      </c>
      <c r="H148" s="69" t="s">
        <v>370</v>
      </c>
      <c r="I148" s="112">
        <f>VLOOKUP(H148,Dados!$B$2:$C$50,2,0)</f>
        <v>10</v>
      </c>
      <c r="J148" s="111">
        <f>VLOOKUP(H148,Dados!$B$2:$E$50,4,0)</f>
        <v>98</v>
      </c>
    </row>
    <row r="149" spans="1:10" ht="22.8" hidden="1" x14ac:dyDescent="0.2">
      <c r="A149" s="69" t="s">
        <v>22</v>
      </c>
      <c r="B149" s="69" t="s">
        <v>660</v>
      </c>
      <c r="C149" s="69" t="s">
        <v>661</v>
      </c>
      <c r="D149" s="71" t="s">
        <v>662</v>
      </c>
      <c r="E149" s="70" t="s">
        <v>91</v>
      </c>
      <c r="F149" s="75" t="s">
        <v>401</v>
      </c>
      <c r="G149" s="86" t="s">
        <v>659</v>
      </c>
      <c r="H149" s="69" t="s">
        <v>370</v>
      </c>
      <c r="I149" s="112">
        <f>VLOOKUP(H149,Dados!$B$2:$C$50,2,0)</f>
        <v>10</v>
      </c>
      <c r="J149" s="111">
        <f>VLOOKUP(H149,Dados!$B$2:$E$50,4,0)</f>
        <v>98</v>
      </c>
    </row>
    <row r="150" spans="1:10" ht="239.4" hidden="1" x14ac:dyDescent="0.2">
      <c r="A150" s="69" t="s">
        <v>10</v>
      </c>
      <c r="B150" s="69" t="s">
        <v>665</v>
      </c>
      <c r="C150" s="69" t="s">
        <v>666</v>
      </c>
      <c r="D150" s="71" t="s">
        <v>1164</v>
      </c>
      <c r="E150" s="70" t="s">
        <v>127</v>
      </c>
      <c r="F150" s="75" t="s">
        <v>379</v>
      </c>
      <c r="G150" s="86" t="s">
        <v>1171</v>
      </c>
      <c r="H150" s="69" t="s">
        <v>370</v>
      </c>
      <c r="I150" s="112">
        <f>VLOOKUP(H150,Dados!$B$2:$C$50,2,0)</f>
        <v>10</v>
      </c>
      <c r="J150" s="111">
        <f>VLOOKUP(H150,Dados!$B$2:$E$50,4,0)</f>
        <v>98</v>
      </c>
    </row>
    <row r="151" spans="1:10" ht="45.6" hidden="1" x14ac:dyDescent="0.2">
      <c r="A151" s="69" t="s">
        <v>17</v>
      </c>
      <c r="B151" s="69" t="s">
        <v>309</v>
      </c>
      <c r="C151" s="69" t="s">
        <v>140</v>
      </c>
      <c r="D151" s="71" t="s">
        <v>310</v>
      </c>
      <c r="E151" s="70" t="s">
        <v>112</v>
      </c>
      <c r="F151" s="75" t="s">
        <v>380</v>
      </c>
      <c r="G151" s="86" t="s">
        <v>1184</v>
      </c>
      <c r="H151" s="69" t="s">
        <v>387</v>
      </c>
      <c r="I151" s="112" t="e">
        <f>VLOOKUP(H151,Dados!$B$2:$C$50,2,0)</f>
        <v>#N/A</v>
      </c>
      <c r="J151" s="111" t="e">
        <f>VLOOKUP(H151,Dados!$B$2:$E$50,4,0)</f>
        <v>#N/A</v>
      </c>
    </row>
    <row r="152" spans="1:10" ht="22.8" hidden="1" x14ac:dyDescent="0.2">
      <c r="A152" s="69" t="s">
        <v>22</v>
      </c>
      <c r="B152" s="69" t="s">
        <v>679</v>
      </c>
      <c r="C152" s="69" t="s">
        <v>340</v>
      </c>
      <c r="D152" s="71" t="s">
        <v>680</v>
      </c>
      <c r="E152" s="70" t="s">
        <v>9</v>
      </c>
      <c r="F152" s="75" t="s">
        <v>401</v>
      </c>
      <c r="G152" s="86" t="s">
        <v>667</v>
      </c>
      <c r="H152" s="69" t="s">
        <v>370</v>
      </c>
      <c r="I152" s="112">
        <f>VLOOKUP(H152,Dados!$B$2:$C$50,2,0)</f>
        <v>10</v>
      </c>
      <c r="J152" s="111">
        <f>VLOOKUP(H152,Dados!$B$2:$E$50,4,0)</f>
        <v>98</v>
      </c>
    </row>
    <row r="153" spans="1:10" ht="91.2" hidden="1" x14ac:dyDescent="0.2">
      <c r="A153" s="69" t="s">
        <v>17</v>
      </c>
      <c r="B153" s="69" t="s">
        <v>682</v>
      </c>
      <c r="C153" s="69" t="s">
        <v>683</v>
      </c>
      <c r="D153" s="71" t="s">
        <v>1168</v>
      </c>
      <c r="E153" s="70" t="s">
        <v>16</v>
      </c>
      <c r="F153" s="75" t="s">
        <v>400</v>
      </c>
      <c r="G153" s="86" t="s">
        <v>1173</v>
      </c>
      <c r="H153" s="69" t="s">
        <v>370</v>
      </c>
      <c r="I153" s="112">
        <f>VLOOKUP(H153,Dados!$B$2:$C$50,2,0)</f>
        <v>10</v>
      </c>
      <c r="J153" s="111">
        <f>VLOOKUP(H153,Dados!$B$2:$E$50,4,0)</f>
        <v>98</v>
      </c>
    </row>
    <row r="154" spans="1:10" ht="34.200000000000003" hidden="1" x14ac:dyDescent="0.2">
      <c r="A154" s="69" t="s">
        <v>22</v>
      </c>
      <c r="B154" s="69" t="s">
        <v>684</v>
      </c>
      <c r="C154" s="69" t="s">
        <v>685</v>
      </c>
      <c r="D154" s="71" t="s">
        <v>686</v>
      </c>
      <c r="E154" s="70" t="s">
        <v>77</v>
      </c>
      <c r="F154" s="75" t="s">
        <v>401</v>
      </c>
      <c r="G154" s="86" t="s">
        <v>687</v>
      </c>
      <c r="H154" s="69" t="s">
        <v>370</v>
      </c>
      <c r="I154" s="112">
        <f>VLOOKUP(H154,Dados!$B$2:$C$50,2,0)</f>
        <v>10</v>
      </c>
      <c r="J154" s="111">
        <f>VLOOKUP(H154,Dados!$B$2:$E$50,4,0)</f>
        <v>98</v>
      </c>
    </row>
    <row r="155" spans="1:10" ht="22.8" hidden="1" x14ac:dyDescent="0.2">
      <c r="A155" s="69" t="s">
        <v>22</v>
      </c>
      <c r="B155" s="69" t="s">
        <v>688</v>
      </c>
      <c r="C155" s="69" t="s">
        <v>661</v>
      </c>
      <c r="D155" s="71" t="s">
        <v>689</v>
      </c>
      <c r="E155" s="70" t="s">
        <v>91</v>
      </c>
      <c r="F155" s="75" t="s">
        <v>401</v>
      </c>
      <c r="G155" s="86" t="s">
        <v>687</v>
      </c>
      <c r="H155" s="69" t="s">
        <v>370</v>
      </c>
      <c r="I155" s="112">
        <f>VLOOKUP(H155,Dados!$B$2:$C$50,2,0)</f>
        <v>10</v>
      </c>
      <c r="J155" s="111">
        <f>VLOOKUP(H155,Dados!$B$2:$E$50,4,0)</f>
        <v>98</v>
      </c>
    </row>
    <row r="156" spans="1:10" ht="22.8" hidden="1" x14ac:dyDescent="0.2">
      <c r="A156" s="69" t="s">
        <v>22</v>
      </c>
      <c r="B156" s="69" t="s">
        <v>690</v>
      </c>
      <c r="C156" s="69" t="s">
        <v>661</v>
      </c>
      <c r="D156" s="71" t="s">
        <v>691</v>
      </c>
      <c r="E156" s="70" t="s">
        <v>91</v>
      </c>
      <c r="F156" s="75" t="s">
        <v>401</v>
      </c>
      <c r="G156" s="86" t="s">
        <v>687</v>
      </c>
      <c r="H156" s="69" t="s">
        <v>370</v>
      </c>
      <c r="I156" s="112">
        <f>VLOOKUP(H156,Dados!$B$2:$C$50,2,0)</f>
        <v>10</v>
      </c>
      <c r="J156" s="111">
        <f>VLOOKUP(H156,Dados!$B$2:$E$50,4,0)</f>
        <v>98</v>
      </c>
    </row>
    <row r="157" spans="1:10" ht="171" x14ac:dyDescent="0.2">
      <c r="A157" s="69" t="s">
        <v>39</v>
      </c>
      <c r="B157" s="69" t="s">
        <v>309</v>
      </c>
      <c r="C157" s="69" t="s">
        <v>140</v>
      </c>
      <c r="D157" s="71" t="s">
        <v>474</v>
      </c>
      <c r="E157" s="70" t="s">
        <v>112</v>
      </c>
      <c r="F157" s="75" t="s">
        <v>380</v>
      </c>
      <c r="G157" s="86" t="s">
        <v>1225</v>
      </c>
      <c r="H157" s="69" t="s">
        <v>628</v>
      </c>
      <c r="I157" s="112">
        <f>VLOOKUP(H157,Dados!$B$2:$C$50,2,0)</f>
        <v>4</v>
      </c>
      <c r="J157" s="111">
        <f>VLOOKUP(H157,Dados!$B$2:$E$50,4,0)</f>
        <v>38</v>
      </c>
    </row>
    <row r="158" spans="1:10" ht="125.4" hidden="1" x14ac:dyDescent="0.2">
      <c r="A158" s="69" t="s">
        <v>58</v>
      </c>
      <c r="B158" s="69" t="s">
        <v>695</v>
      </c>
      <c r="C158" s="69" t="s">
        <v>84</v>
      </c>
      <c r="D158" s="71" t="s">
        <v>1090</v>
      </c>
      <c r="E158" s="70" t="s">
        <v>43</v>
      </c>
      <c r="F158" s="75" t="s">
        <v>379</v>
      </c>
      <c r="G158" s="86" t="s">
        <v>1148</v>
      </c>
      <c r="H158" s="69" t="s">
        <v>370</v>
      </c>
      <c r="I158" s="112">
        <f>VLOOKUP(H158,Dados!$B$2:$C$50,2,0)</f>
        <v>10</v>
      </c>
      <c r="J158" s="111">
        <f>VLOOKUP(H158,Dados!$B$2:$E$50,4,0)</f>
        <v>98</v>
      </c>
    </row>
    <row r="159" spans="1:10" ht="68.400000000000006" hidden="1" x14ac:dyDescent="0.2">
      <c r="A159" s="69" t="s">
        <v>58</v>
      </c>
      <c r="B159" s="69"/>
      <c r="C159" s="69" t="s">
        <v>84</v>
      </c>
      <c r="D159" s="71" t="s">
        <v>522</v>
      </c>
      <c r="E159" s="70" t="s">
        <v>210</v>
      </c>
      <c r="F159" s="75" t="s">
        <v>380</v>
      </c>
      <c r="G159" s="86" t="s">
        <v>1043</v>
      </c>
      <c r="H159" s="69" t="s">
        <v>370</v>
      </c>
      <c r="I159" s="112">
        <f>VLOOKUP(H159,Dados!$B$2:$C$50,2,0)</f>
        <v>10</v>
      </c>
      <c r="J159" s="111">
        <f>VLOOKUP(H159,Dados!$B$2:$E$50,4,0)</f>
        <v>98</v>
      </c>
    </row>
    <row r="160" spans="1:10" ht="159.6" hidden="1" x14ac:dyDescent="0.2">
      <c r="A160" s="69" t="s">
        <v>17</v>
      </c>
      <c r="B160" s="69" t="s">
        <v>700</v>
      </c>
      <c r="C160" s="69" t="s">
        <v>701</v>
      </c>
      <c r="D160" s="71" t="s">
        <v>1105</v>
      </c>
      <c r="E160" s="70" t="s">
        <v>38</v>
      </c>
      <c r="F160" s="75" t="s">
        <v>379</v>
      </c>
      <c r="G160" s="86" t="s">
        <v>1107</v>
      </c>
      <c r="H160" s="69" t="s">
        <v>370</v>
      </c>
      <c r="I160" s="112">
        <f>VLOOKUP(H160,Dados!$B$2:$C$50,2,0)</f>
        <v>10</v>
      </c>
      <c r="J160" s="111">
        <f>VLOOKUP(H160,Dados!$B$2:$E$50,4,0)</f>
        <v>98</v>
      </c>
    </row>
    <row r="161" spans="1:11" ht="193.8" hidden="1" x14ac:dyDescent="0.2">
      <c r="A161" s="69" t="s">
        <v>39</v>
      </c>
      <c r="B161" s="69" t="s">
        <v>548</v>
      </c>
      <c r="C161" s="69" t="s">
        <v>84</v>
      </c>
      <c r="D161" s="71" t="s">
        <v>1147</v>
      </c>
      <c r="E161" s="70" t="s">
        <v>547</v>
      </c>
      <c r="F161" s="75" t="s">
        <v>379</v>
      </c>
      <c r="G161" s="86" t="s">
        <v>1149</v>
      </c>
      <c r="H161" s="69" t="s">
        <v>370</v>
      </c>
      <c r="I161" s="112">
        <f>VLOOKUP(H161,Dados!$B$2:$C$50,2,0)</f>
        <v>10</v>
      </c>
      <c r="J161" s="111">
        <f>VLOOKUP(H161,Dados!$B$2:$E$50,4,0)</f>
        <v>98</v>
      </c>
    </row>
    <row r="162" spans="1:11" ht="22.8" hidden="1" x14ac:dyDescent="0.2">
      <c r="A162" s="69" t="s">
        <v>22</v>
      </c>
      <c r="B162" s="69" t="s">
        <v>710</v>
      </c>
      <c r="C162" s="69" t="s">
        <v>711</v>
      </c>
      <c r="D162" s="71" t="s">
        <v>712</v>
      </c>
      <c r="E162" s="70" t="s">
        <v>713</v>
      </c>
      <c r="F162" s="75" t="s">
        <v>401</v>
      </c>
      <c r="G162" s="86" t="s">
        <v>706</v>
      </c>
      <c r="H162" s="69" t="s">
        <v>370</v>
      </c>
      <c r="I162" s="112">
        <f>VLOOKUP(H162,Dados!$B$2:$C$50,2,0)</f>
        <v>10</v>
      </c>
      <c r="J162" s="111">
        <f>VLOOKUP(H162,Dados!$B$2:$E$50,4,0)</f>
        <v>98</v>
      </c>
    </row>
    <row r="163" spans="1:11" ht="22.8" hidden="1" x14ac:dyDescent="0.2">
      <c r="A163" s="69" t="s">
        <v>22</v>
      </c>
      <c r="B163" s="69" t="s">
        <v>714</v>
      </c>
      <c r="C163" s="69" t="s">
        <v>715</v>
      </c>
      <c r="D163" s="71" t="s">
        <v>716</v>
      </c>
      <c r="E163" s="70" t="s">
        <v>32</v>
      </c>
      <c r="F163" s="75" t="s">
        <v>401</v>
      </c>
      <c r="G163" s="86" t="s">
        <v>706</v>
      </c>
      <c r="H163" s="69" t="s">
        <v>370</v>
      </c>
      <c r="I163" s="112">
        <f>VLOOKUP(H163,Dados!$B$2:$C$50,2,0)</f>
        <v>10</v>
      </c>
      <c r="J163" s="111">
        <f>VLOOKUP(H163,Dados!$B$2:$E$50,4,0)</f>
        <v>98</v>
      </c>
    </row>
    <row r="164" spans="1:11" ht="22.8" hidden="1" x14ac:dyDescent="0.2">
      <c r="A164" s="69" t="s">
        <v>22</v>
      </c>
      <c r="B164" s="69" t="s">
        <v>717</v>
      </c>
      <c r="C164" s="69" t="s">
        <v>718</v>
      </c>
      <c r="D164" s="71" t="s">
        <v>719</v>
      </c>
      <c r="E164" s="70" t="s">
        <v>222</v>
      </c>
      <c r="F164" s="75" t="s">
        <v>401</v>
      </c>
      <c r="G164" s="86" t="s">
        <v>706</v>
      </c>
      <c r="H164" s="69" t="s">
        <v>370</v>
      </c>
      <c r="I164" s="112">
        <f>VLOOKUP(H164,Dados!$B$2:$C$50,2,0)</f>
        <v>10</v>
      </c>
      <c r="J164" s="111">
        <f>VLOOKUP(H164,Dados!$B$2:$E$50,4,0)</f>
        <v>98</v>
      </c>
    </row>
    <row r="165" spans="1:11" ht="102.6" hidden="1" x14ac:dyDescent="0.2">
      <c r="A165" s="69" t="s">
        <v>10</v>
      </c>
      <c r="B165" s="69" t="s">
        <v>721</v>
      </c>
      <c r="C165" s="69" t="s">
        <v>722</v>
      </c>
      <c r="D165" s="71" t="s">
        <v>720</v>
      </c>
      <c r="E165" s="70" t="s">
        <v>86</v>
      </c>
      <c r="F165" s="75" t="s">
        <v>400</v>
      </c>
      <c r="G165" s="86" t="s">
        <v>902</v>
      </c>
      <c r="H165" s="69" t="s">
        <v>370</v>
      </c>
      <c r="J165" s="111">
        <f>VLOOKUP(H165,Dados!$B$2:$E$50,4,0)</f>
        <v>98</v>
      </c>
      <c r="K165" s="114">
        <f>VLOOKUP(H165,Dados!$B$2:$C$50,2,0)</f>
        <v>10</v>
      </c>
    </row>
    <row r="166" spans="1:11" ht="22.8" hidden="1" x14ac:dyDescent="0.2">
      <c r="A166" s="69" t="s">
        <v>22</v>
      </c>
      <c r="B166" s="69" t="s">
        <v>723</v>
      </c>
      <c r="C166" s="69" t="s">
        <v>724</v>
      </c>
      <c r="D166" s="71" t="s">
        <v>725</v>
      </c>
      <c r="E166" s="70" t="s">
        <v>304</v>
      </c>
      <c r="F166" s="75" t="s">
        <v>401</v>
      </c>
      <c r="G166" s="86" t="s">
        <v>706</v>
      </c>
      <c r="H166" s="69" t="s">
        <v>370</v>
      </c>
      <c r="I166" s="112">
        <f>VLOOKUP(H166,Dados!$B$2:$C$50,2,0)</f>
        <v>10</v>
      </c>
      <c r="J166" s="111">
        <f>VLOOKUP(H166,Dados!$B$2:$E$50,4,0)</f>
        <v>98</v>
      </c>
    </row>
    <row r="167" spans="1:11" ht="148.19999999999999" hidden="1" x14ac:dyDescent="0.2">
      <c r="A167" s="69" t="s">
        <v>58</v>
      </c>
      <c r="B167" s="69" t="s">
        <v>727</v>
      </c>
      <c r="C167" s="69" t="s">
        <v>728</v>
      </c>
      <c r="D167" s="71" t="s">
        <v>975</v>
      </c>
      <c r="E167" s="70" t="s">
        <v>155</v>
      </c>
      <c r="F167" s="75" t="s">
        <v>400</v>
      </c>
      <c r="G167" s="86" t="s">
        <v>976</v>
      </c>
      <c r="H167" s="69" t="s">
        <v>370</v>
      </c>
      <c r="I167" s="112">
        <f>VLOOKUP(H167,Dados!$B$2:$C$50,2,0)</f>
        <v>10</v>
      </c>
      <c r="J167" s="111">
        <f>VLOOKUP(H167,Dados!$B$2:$E$50,4,0)</f>
        <v>98</v>
      </c>
    </row>
    <row r="168" spans="1:11" ht="22.8" hidden="1" x14ac:dyDescent="0.2">
      <c r="A168" s="69" t="s">
        <v>22</v>
      </c>
      <c r="B168" s="69" t="s">
        <v>500</v>
      </c>
      <c r="C168" s="69" t="s">
        <v>501</v>
      </c>
      <c r="D168" s="71" t="s">
        <v>733</v>
      </c>
      <c r="E168" s="70" t="s">
        <v>32</v>
      </c>
      <c r="F168" s="75" t="s">
        <v>401</v>
      </c>
      <c r="G168" s="86" t="s">
        <v>734</v>
      </c>
      <c r="H168" s="69" t="s">
        <v>370</v>
      </c>
      <c r="I168" s="112">
        <f>VLOOKUP(H168,Dados!$B$2:$C$50,2,0)</f>
        <v>10</v>
      </c>
      <c r="J168" s="111">
        <f>VLOOKUP(H168,Dados!$B$2:$E$50,4,0)</f>
        <v>98</v>
      </c>
    </row>
    <row r="169" spans="1:11" ht="205.2" hidden="1" x14ac:dyDescent="0.2">
      <c r="A169" s="69" t="s">
        <v>10</v>
      </c>
      <c r="B169" s="69" t="s">
        <v>736</v>
      </c>
      <c r="C169" s="69" t="s">
        <v>70</v>
      </c>
      <c r="D169" s="71" t="s">
        <v>355</v>
      </c>
      <c r="E169" s="70" t="s">
        <v>86</v>
      </c>
      <c r="F169" s="75" t="s">
        <v>379</v>
      </c>
      <c r="G169" s="86" t="s">
        <v>1237</v>
      </c>
      <c r="H169" s="69" t="s">
        <v>370</v>
      </c>
      <c r="I169" s="112">
        <f>VLOOKUP(H169,Dados!$B$2:$C$50,2,0)</f>
        <v>10</v>
      </c>
      <c r="J169" s="111">
        <f>VLOOKUP(H169,Dados!$B$2:$E$50,4,0)</f>
        <v>98</v>
      </c>
    </row>
    <row r="170" spans="1:11" ht="136.80000000000001" hidden="1" x14ac:dyDescent="0.2">
      <c r="A170" s="69" t="s">
        <v>58</v>
      </c>
      <c r="B170" s="69" t="s">
        <v>743</v>
      </c>
      <c r="C170" s="69" t="s">
        <v>84</v>
      </c>
      <c r="D170" s="71" t="s">
        <v>1235</v>
      </c>
      <c r="E170" s="70" t="s">
        <v>267</v>
      </c>
      <c r="F170" s="75" t="s">
        <v>379</v>
      </c>
      <c r="G170" s="86" t="s">
        <v>1236</v>
      </c>
      <c r="H170" s="69" t="s">
        <v>369</v>
      </c>
      <c r="I170" s="112" t="e">
        <f>VLOOKUP(H170,Dados!$B$2:$C$50,2,0)</f>
        <v>#N/A</v>
      </c>
      <c r="J170" s="111" t="e">
        <f>VLOOKUP(H170,Dados!$B$2:$E$50,4,0)</f>
        <v>#N/A</v>
      </c>
    </row>
    <row r="171" spans="1:11" ht="22.8" hidden="1" x14ac:dyDescent="0.2">
      <c r="A171" s="69" t="s">
        <v>22</v>
      </c>
      <c r="B171" s="69" t="s">
        <v>745</v>
      </c>
      <c r="C171" s="69" t="s">
        <v>504</v>
      </c>
      <c r="D171" s="71" t="s">
        <v>746</v>
      </c>
      <c r="E171" s="70" t="s">
        <v>155</v>
      </c>
      <c r="F171" s="75" t="s">
        <v>401</v>
      </c>
      <c r="G171" s="86" t="s">
        <v>744</v>
      </c>
      <c r="H171" s="69" t="s">
        <v>370</v>
      </c>
      <c r="I171" s="112">
        <f>VLOOKUP(H171,Dados!$B$2:$C$50,2,0)</f>
        <v>10</v>
      </c>
      <c r="J171" s="111">
        <f>VLOOKUP(H171,Dados!$B$2:$E$50,4,0)</f>
        <v>98</v>
      </c>
    </row>
    <row r="172" spans="1:11" ht="22.8" hidden="1" x14ac:dyDescent="0.2">
      <c r="A172" s="69" t="s">
        <v>22</v>
      </c>
      <c r="B172" s="69" t="s">
        <v>748</v>
      </c>
      <c r="C172" s="69" t="s">
        <v>749</v>
      </c>
      <c r="D172" s="71" t="s">
        <v>750</v>
      </c>
      <c r="E172" s="70" t="s">
        <v>625</v>
      </c>
      <c r="F172" s="75" t="s">
        <v>401</v>
      </c>
      <c r="G172" s="86" t="s">
        <v>744</v>
      </c>
      <c r="H172" s="69" t="s">
        <v>370</v>
      </c>
      <c r="I172" s="112">
        <f>VLOOKUP(H172,Dados!$B$2:$C$50,2,0)</f>
        <v>10</v>
      </c>
      <c r="J172" s="111">
        <f>VLOOKUP(H172,Dados!$B$2:$E$50,4,0)</f>
        <v>98</v>
      </c>
    </row>
    <row r="173" spans="1:11" ht="57" hidden="1" x14ac:dyDescent="0.2">
      <c r="A173" s="69" t="s">
        <v>17</v>
      </c>
      <c r="B173" s="69" t="s">
        <v>95</v>
      </c>
      <c r="C173" s="69" t="s">
        <v>752</v>
      </c>
      <c r="D173" s="71" t="s">
        <v>97</v>
      </c>
      <c r="E173" s="70" t="s">
        <v>86</v>
      </c>
      <c r="F173" s="75" t="s">
        <v>380</v>
      </c>
      <c r="G173" s="86" t="s">
        <v>1030</v>
      </c>
      <c r="H173" s="69" t="s">
        <v>370</v>
      </c>
      <c r="I173" s="112">
        <f>VLOOKUP(H173,Dados!$B$2:$C$50,2,0)</f>
        <v>10</v>
      </c>
      <c r="J173" s="111">
        <f>VLOOKUP(H173,Dados!$B$2:$E$50,4,0)</f>
        <v>98</v>
      </c>
    </row>
    <row r="174" spans="1:11" ht="171" hidden="1" x14ac:dyDescent="0.2">
      <c r="A174" s="69" t="s">
        <v>17</v>
      </c>
      <c r="B174" s="69" t="s">
        <v>756</v>
      </c>
      <c r="C174" s="69" t="s">
        <v>255</v>
      </c>
      <c r="D174" s="71" t="s">
        <v>1228</v>
      </c>
      <c r="E174" s="70" t="s">
        <v>53</v>
      </c>
      <c r="F174" s="75" t="s">
        <v>400</v>
      </c>
      <c r="G174" s="86" t="s">
        <v>1229</v>
      </c>
      <c r="H174" s="69" t="s">
        <v>370</v>
      </c>
      <c r="I174" s="112">
        <f>VLOOKUP(H174,Dados!$B$2:$C$50,2,0)</f>
        <v>10</v>
      </c>
      <c r="J174" s="111">
        <f>VLOOKUP(H174,Dados!$B$2:$E$50,4,0)</f>
        <v>98</v>
      </c>
    </row>
    <row r="175" spans="1:11" ht="159.6" x14ac:dyDescent="0.2">
      <c r="A175" s="69" t="s">
        <v>17</v>
      </c>
      <c r="B175" s="69" t="s">
        <v>766</v>
      </c>
      <c r="C175" s="69" t="s">
        <v>231</v>
      </c>
      <c r="D175" s="71" t="s">
        <v>761</v>
      </c>
      <c r="E175" s="70" t="s">
        <v>16</v>
      </c>
      <c r="F175" s="75" t="s">
        <v>379</v>
      </c>
      <c r="G175" s="86" t="s">
        <v>923</v>
      </c>
      <c r="H175" s="69" t="s">
        <v>366</v>
      </c>
      <c r="I175" s="112">
        <f>VLOOKUP(H175,Dados!$B$2:$C$50,2,0)</f>
        <v>7</v>
      </c>
      <c r="J175" s="111">
        <f>VLOOKUP(H175,Dados!$B$2:$E$50,4,0)</f>
        <v>68</v>
      </c>
    </row>
    <row r="176" spans="1:11" ht="22.8" hidden="1" x14ac:dyDescent="0.2">
      <c r="A176" s="69" t="s">
        <v>39</v>
      </c>
      <c r="B176" s="69" t="s">
        <v>791</v>
      </c>
      <c r="C176" s="69" t="s">
        <v>792</v>
      </c>
      <c r="D176" s="71" t="s">
        <v>793</v>
      </c>
      <c r="E176" s="70" t="s">
        <v>91</v>
      </c>
      <c r="F176" s="75" t="s">
        <v>401</v>
      </c>
      <c r="G176" s="86" t="s">
        <v>794</v>
      </c>
      <c r="H176" s="69" t="s">
        <v>370</v>
      </c>
      <c r="I176" s="112">
        <f>VLOOKUP(H176,Dados!$B$2:$C$50,2,0)</f>
        <v>10</v>
      </c>
      <c r="J176" s="111">
        <f>VLOOKUP(H176,Dados!$B$2:$E$50,4,0)</f>
        <v>98</v>
      </c>
    </row>
    <row r="177" spans="1:10" ht="22.8" x14ac:dyDescent="0.2">
      <c r="A177" s="69" t="s">
        <v>39</v>
      </c>
      <c r="B177" s="69" t="s">
        <v>283</v>
      </c>
      <c r="C177" s="69" t="s">
        <v>795</v>
      </c>
      <c r="D177" s="71" t="s">
        <v>796</v>
      </c>
      <c r="E177" s="70" t="s">
        <v>91</v>
      </c>
      <c r="F177" s="75" t="s">
        <v>401</v>
      </c>
      <c r="G177" s="86" t="s">
        <v>794</v>
      </c>
      <c r="H177" s="69" t="s">
        <v>386</v>
      </c>
      <c r="I177" s="112">
        <f>VLOOKUP(H177,Dados!$B$2:$C$50,2,0)</f>
        <v>9</v>
      </c>
      <c r="J177" s="111">
        <f>VLOOKUP(H177,Dados!$B$2:$E$50,4,0)</f>
        <v>88</v>
      </c>
    </row>
    <row r="178" spans="1:10" ht="22.8" hidden="1" x14ac:dyDescent="0.2">
      <c r="A178" s="69" t="s">
        <v>39</v>
      </c>
      <c r="B178" s="69" t="s">
        <v>797</v>
      </c>
      <c r="C178" s="69" t="s">
        <v>798</v>
      </c>
      <c r="D178" s="71" t="s">
        <v>799</v>
      </c>
      <c r="E178" s="70" t="s">
        <v>179</v>
      </c>
      <c r="F178" s="75" t="s">
        <v>401</v>
      </c>
      <c r="G178" s="86" t="s">
        <v>794</v>
      </c>
      <c r="H178" s="69" t="s">
        <v>370</v>
      </c>
      <c r="I178" s="112">
        <f>VLOOKUP(H178,Dados!$B$2:$C$50,2,0)</f>
        <v>10</v>
      </c>
      <c r="J178" s="111">
        <f>VLOOKUP(H178,Dados!$B$2:$E$50,4,0)</f>
        <v>98</v>
      </c>
    </row>
    <row r="179" spans="1:10" ht="34.200000000000003" hidden="1" x14ac:dyDescent="0.2">
      <c r="A179" s="69" t="s">
        <v>39</v>
      </c>
      <c r="B179" s="69" t="s">
        <v>800</v>
      </c>
      <c r="C179" s="69" t="s">
        <v>801</v>
      </c>
      <c r="D179" s="71" t="s">
        <v>802</v>
      </c>
      <c r="E179" s="70" t="s">
        <v>164</v>
      </c>
      <c r="F179" s="75" t="s">
        <v>401</v>
      </c>
      <c r="G179" s="86" t="s">
        <v>794</v>
      </c>
      <c r="H179" s="69" t="s">
        <v>370</v>
      </c>
      <c r="I179" s="112">
        <f>VLOOKUP(H179,Dados!$B$2:$C$50,2,0)</f>
        <v>10</v>
      </c>
      <c r="J179" s="111">
        <f>VLOOKUP(H179,Dados!$B$2:$E$50,4,0)</f>
        <v>98</v>
      </c>
    </row>
    <row r="180" spans="1:10" ht="171" hidden="1" x14ac:dyDescent="0.2">
      <c r="A180" s="69" t="s">
        <v>10</v>
      </c>
      <c r="B180" s="69" t="s">
        <v>804</v>
      </c>
      <c r="C180" s="69" t="s">
        <v>805</v>
      </c>
      <c r="D180" s="71" t="s">
        <v>803</v>
      </c>
      <c r="E180" s="70" t="s">
        <v>91</v>
      </c>
      <c r="F180" s="75" t="s">
        <v>381</v>
      </c>
      <c r="G180" s="86" t="s">
        <v>1106</v>
      </c>
      <c r="H180" s="69" t="s">
        <v>370</v>
      </c>
      <c r="I180" s="112">
        <f>VLOOKUP(H180,Dados!$B$2:$C$50,2,0)</f>
        <v>10</v>
      </c>
      <c r="J180" s="111">
        <f>VLOOKUP(H180,Dados!$B$2:$E$50,4,0)</f>
        <v>98</v>
      </c>
    </row>
    <row r="181" spans="1:10" ht="22.8" hidden="1" x14ac:dyDescent="0.2">
      <c r="A181" s="69" t="s">
        <v>39</v>
      </c>
      <c r="B181" s="69" t="s">
        <v>816</v>
      </c>
      <c r="C181" s="69" t="s">
        <v>817</v>
      </c>
      <c r="D181" s="71" t="s">
        <v>818</v>
      </c>
      <c r="E181" s="70" t="s">
        <v>164</v>
      </c>
      <c r="F181" s="75" t="s">
        <v>401</v>
      </c>
      <c r="G181" s="86" t="s">
        <v>819</v>
      </c>
      <c r="H181" s="69" t="s">
        <v>370</v>
      </c>
      <c r="I181" s="112">
        <f>VLOOKUP(H181,Dados!$B$2:$C$50,2,0)</f>
        <v>10</v>
      </c>
      <c r="J181" s="111">
        <f>VLOOKUP(H181,Dados!$B$2:$E$50,4,0)</f>
        <v>98</v>
      </c>
    </row>
    <row r="182" spans="1:10" ht="102.6" hidden="1" x14ac:dyDescent="0.2">
      <c r="A182" s="69" t="s">
        <v>10</v>
      </c>
      <c r="B182" s="69" t="s">
        <v>821</v>
      </c>
      <c r="C182" s="69" t="s">
        <v>822</v>
      </c>
      <c r="D182" s="71" t="s">
        <v>883</v>
      </c>
      <c r="E182" s="70" t="s">
        <v>67</v>
      </c>
      <c r="F182" s="75" t="s">
        <v>400</v>
      </c>
      <c r="G182" s="86" t="s">
        <v>917</v>
      </c>
      <c r="H182" s="69" t="s">
        <v>370</v>
      </c>
      <c r="I182" s="112">
        <f>VLOOKUP(H182,Dados!$B$2:$C$50,2,0)</f>
        <v>10</v>
      </c>
      <c r="J182" s="111">
        <f>VLOOKUP(H182,Dados!$B$2:$E$50,4,0)</f>
        <v>98</v>
      </c>
    </row>
    <row r="183" spans="1:10" ht="22.8" hidden="1" x14ac:dyDescent="0.2">
      <c r="A183" s="69" t="s">
        <v>39</v>
      </c>
      <c r="B183" s="69" t="s">
        <v>823</v>
      </c>
      <c r="C183" s="69" t="s">
        <v>824</v>
      </c>
      <c r="D183" s="71" t="s">
        <v>825</v>
      </c>
      <c r="E183" s="70" t="s">
        <v>77</v>
      </c>
      <c r="F183" s="75" t="s">
        <v>401</v>
      </c>
      <c r="G183" s="86" t="s">
        <v>819</v>
      </c>
      <c r="H183" s="69" t="s">
        <v>370</v>
      </c>
      <c r="I183" s="112">
        <f>VLOOKUP(H183,Dados!$B$2:$C$50,2,0)</f>
        <v>10</v>
      </c>
      <c r="J183" s="111">
        <f>VLOOKUP(H183,Dados!$B$2:$E$50,4,0)</f>
        <v>98</v>
      </c>
    </row>
    <row r="184" spans="1:10" ht="171" hidden="1" x14ac:dyDescent="0.2">
      <c r="A184" s="69" t="s">
        <v>39</v>
      </c>
      <c r="B184" s="69" t="s">
        <v>325</v>
      </c>
      <c r="C184" s="69" t="s">
        <v>836</v>
      </c>
      <c r="D184" s="71" t="s">
        <v>327</v>
      </c>
      <c r="E184" s="70" t="s">
        <v>132</v>
      </c>
      <c r="F184" s="75" t="s">
        <v>379</v>
      </c>
      <c r="G184" s="86" t="s">
        <v>1230</v>
      </c>
      <c r="H184" s="69" t="s">
        <v>370</v>
      </c>
      <c r="I184" s="112">
        <f>VLOOKUP(H184,Dados!$B$2:$C$50,2,0)</f>
        <v>10</v>
      </c>
      <c r="J184" s="111">
        <f>VLOOKUP(H184,Dados!$B$2:$E$50,4,0)</f>
        <v>98</v>
      </c>
    </row>
    <row r="185" spans="1:10" ht="102.6" hidden="1" x14ac:dyDescent="0.2">
      <c r="A185" s="69" t="s">
        <v>58</v>
      </c>
      <c r="B185" s="69" t="s">
        <v>839</v>
      </c>
      <c r="C185" s="69" t="s">
        <v>840</v>
      </c>
      <c r="D185" s="71" t="s">
        <v>837</v>
      </c>
      <c r="E185" s="70" t="s">
        <v>32</v>
      </c>
      <c r="F185" s="75" t="s">
        <v>400</v>
      </c>
      <c r="G185" s="86" t="s">
        <v>1275</v>
      </c>
      <c r="H185" s="69" t="s">
        <v>370</v>
      </c>
      <c r="I185" s="112">
        <f>VLOOKUP(H185,Dados!$B$2:$C$50,2,0)</f>
        <v>10</v>
      </c>
      <c r="J185" s="111">
        <f>VLOOKUP(H185,Dados!$B$2:$E$50,4,0)</f>
        <v>98</v>
      </c>
    </row>
    <row r="186" spans="1:10" ht="102.6" hidden="1" x14ac:dyDescent="0.2">
      <c r="A186" s="69" t="s">
        <v>39</v>
      </c>
      <c r="B186" s="69" t="s">
        <v>843</v>
      </c>
      <c r="C186" s="69" t="s">
        <v>844</v>
      </c>
      <c r="D186" s="71" t="s">
        <v>841</v>
      </c>
      <c r="E186" s="70" t="s">
        <v>112</v>
      </c>
      <c r="F186" s="75" t="s">
        <v>400</v>
      </c>
      <c r="G186" s="86" t="s">
        <v>1009</v>
      </c>
      <c r="H186" s="69" t="s">
        <v>370</v>
      </c>
      <c r="I186" s="112">
        <f>VLOOKUP(H186,Dados!$B$2:$C$50,2,0)</f>
        <v>10</v>
      </c>
      <c r="J186" s="111">
        <f>VLOOKUP(H186,Dados!$B$2:$E$50,4,0)</f>
        <v>98</v>
      </c>
    </row>
    <row r="187" spans="1:10" ht="114" hidden="1" x14ac:dyDescent="0.2">
      <c r="A187" s="69" t="s">
        <v>17</v>
      </c>
      <c r="B187" s="69" t="s">
        <v>845</v>
      </c>
      <c r="C187" s="69" t="s">
        <v>84</v>
      </c>
      <c r="D187" s="71" t="s">
        <v>842</v>
      </c>
      <c r="E187" s="70" t="s">
        <v>53</v>
      </c>
      <c r="F187" s="75" t="s">
        <v>400</v>
      </c>
      <c r="G187" s="86" t="s">
        <v>945</v>
      </c>
      <c r="H187" s="69" t="s">
        <v>370</v>
      </c>
      <c r="I187" s="112">
        <f>VLOOKUP(H187,Dados!$B$2:$C$50,2,0)</f>
        <v>10</v>
      </c>
      <c r="J187" s="111">
        <f>VLOOKUP(H187,Dados!$B$2:$E$50,4,0)</f>
        <v>98</v>
      </c>
    </row>
    <row r="188" spans="1:10" ht="171" hidden="1" x14ac:dyDescent="0.2">
      <c r="A188" s="69" t="s">
        <v>39</v>
      </c>
      <c r="B188" s="69" t="s">
        <v>99</v>
      </c>
      <c r="C188" s="69" t="s">
        <v>140</v>
      </c>
      <c r="D188" s="71" t="s">
        <v>1098</v>
      </c>
      <c r="E188" s="70" t="s">
        <v>102</v>
      </c>
      <c r="F188" s="75" t="s">
        <v>400</v>
      </c>
      <c r="G188" s="86" t="s">
        <v>1170</v>
      </c>
      <c r="H188" s="69" t="s">
        <v>370</v>
      </c>
      <c r="I188" s="112">
        <f>VLOOKUP(H188,Dados!$B$2:$C$50,2,0)</f>
        <v>10</v>
      </c>
      <c r="J188" s="111">
        <f>VLOOKUP(H188,Dados!$B$2:$E$50,4,0)</f>
        <v>98</v>
      </c>
    </row>
    <row r="189" spans="1:10" ht="102.6" hidden="1" x14ac:dyDescent="0.2">
      <c r="A189" s="69" t="s">
        <v>17</v>
      </c>
      <c r="B189" s="69" t="s">
        <v>14</v>
      </c>
      <c r="C189" s="69" t="s">
        <v>852</v>
      </c>
      <c r="D189" s="71" t="s">
        <v>998</v>
      </c>
      <c r="E189" s="70" t="s">
        <v>16</v>
      </c>
      <c r="F189" s="75" t="s">
        <v>400</v>
      </c>
      <c r="G189" s="86" t="s">
        <v>1008</v>
      </c>
      <c r="H189" s="69" t="s">
        <v>370</v>
      </c>
      <c r="I189" s="112">
        <f>VLOOKUP(H189,Dados!$B$2:$C$50,2,0)</f>
        <v>10</v>
      </c>
      <c r="J189" s="111">
        <f>VLOOKUP(H189,Dados!$B$2:$E$50,4,0)</f>
        <v>98</v>
      </c>
    </row>
    <row r="190" spans="1:10" ht="159.6" hidden="1" x14ac:dyDescent="0.2">
      <c r="A190" s="69" t="s">
        <v>39</v>
      </c>
      <c r="B190" s="69" t="s">
        <v>853</v>
      </c>
      <c r="C190" s="69" t="s">
        <v>539</v>
      </c>
      <c r="D190" s="71" t="s">
        <v>15</v>
      </c>
      <c r="E190" s="70" t="s">
        <v>16</v>
      </c>
      <c r="F190" s="75" t="s">
        <v>400</v>
      </c>
      <c r="G190" s="86" t="s">
        <v>1150</v>
      </c>
      <c r="H190" s="69" t="s">
        <v>370</v>
      </c>
      <c r="I190" s="112">
        <f>VLOOKUP(H190,Dados!$B$2:$C$50,2,0)</f>
        <v>10</v>
      </c>
      <c r="J190" s="111">
        <f>VLOOKUP(H190,Dados!$B$2:$E$50,4,0)</f>
        <v>98</v>
      </c>
    </row>
    <row r="191" spans="1:10" ht="125.4" hidden="1" x14ac:dyDescent="0.2">
      <c r="A191" s="69" t="s">
        <v>17</v>
      </c>
      <c r="B191" s="69" t="s">
        <v>475</v>
      </c>
      <c r="C191" s="69" t="s">
        <v>140</v>
      </c>
      <c r="D191" s="71" t="s">
        <v>476</v>
      </c>
      <c r="E191" s="70" t="s">
        <v>155</v>
      </c>
      <c r="F191" s="75" t="s">
        <v>379</v>
      </c>
      <c r="G191" s="86" t="s">
        <v>1222</v>
      </c>
      <c r="H191" s="69" t="s">
        <v>387</v>
      </c>
      <c r="I191" s="112" t="e">
        <f>VLOOKUP(H191,Dados!$B$2:$C$50,2,0)</f>
        <v>#N/A</v>
      </c>
      <c r="J191" s="111" t="e">
        <f>VLOOKUP(H191,Dados!$B$2:$E$50,4,0)</f>
        <v>#N/A</v>
      </c>
    </row>
    <row r="192" spans="1:10" ht="91.2" hidden="1" x14ac:dyDescent="0.2">
      <c r="A192" s="69" t="s">
        <v>39</v>
      </c>
      <c r="B192" s="69" t="s">
        <v>743</v>
      </c>
      <c r="C192" s="69" t="s">
        <v>84</v>
      </c>
      <c r="D192" s="71" t="s">
        <v>1235</v>
      </c>
      <c r="E192" s="70" t="s">
        <v>267</v>
      </c>
      <c r="F192" s="75" t="s">
        <v>380</v>
      </c>
      <c r="G192" s="86" t="s">
        <v>1207</v>
      </c>
      <c r="H192" s="69" t="s">
        <v>370</v>
      </c>
      <c r="I192" s="112">
        <f>VLOOKUP(H192,Dados!$B$2:$C$50,2,0)</f>
        <v>10</v>
      </c>
      <c r="J192" s="111">
        <f>VLOOKUP(H192,Dados!$B$2:$E$50,4,0)</f>
        <v>98</v>
      </c>
    </row>
    <row r="193" spans="1:10" ht="22.8" hidden="1" x14ac:dyDescent="0.2">
      <c r="A193" s="69" t="s">
        <v>22</v>
      </c>
      <c r="B193" s="69" t="s">
        <v>323</v>
      </c>
      <c r="C193" s="69" t="s">
        <v>858</v>
      </c>
      <c r="D193" s="71" t="s">
        <v>431</v>
      </c>
      <c r="E193" s="70" t="s">
        <v>38</v>
      </c>
      <c r="F193" s="75" t="s">
        <v>401</v>
      </c>
      <c r="G193" s="86" t="s">
        <v>882</v>
      </c>
      <c r="H193" s="69" t="s">
        <v>370</v>
      </c>
      <c r="I193" s="112">
        <f>VLOOKUP(H193,Dados!$B$2:$C$50,2,0)</f>
        <v>10</v>
      </c>
      <c r="J193" s="111">
        <f>VLOOKUP(H193,Dados!$B$2:$E$50,4,0)</f>
        <v>98</v>
      </c>
    </row>
    <row r="194" spans="1:10" ht="159.6" hidden="1" x14ac:dyDescent="0.2">
      <c r="A194" s="69" t="s">
        <v>39</v>
      </c>
      <c r="B194" s="69" t="s">
        <v>23</v>
      </c>
      <c r="C194" s="69" t="s">
        <v>876</v>
      </c>
      <c r="D194" s="71" t="s">
        <v>25</v>
      </c>
      <c r="E194" s="70" t="s">
        <v>16</v>
      </c>
      <c r="F194" s="75" t="s">
        <v>400</v>
      </c>
      <c r="G194" s="86" t="s">
        <v>974</v>
      </c>
      <c r="H194" s="69" t="s">
        <v>370</v>
      </c>
      <c r="I194" s="112">
        <f>VLOOKUP(H194,Dados!$B$2:$C$50,2,0)</f>
        <v>10</v>
      </c>
      <c r="J194" s="111">
        <f>VLOOKUP(H194,Dados!$B$2:$E$50,4,0)</f>
        <v>98</v>
      </c>
    </row>
    <row r="195" spans="1:10" ht="45.6" hidden="1" x14ac:dyDescent="0.2">
      <c r="A195" s="69" t="s">
        <v>17</v>
      </c>
      <c r="B195" s="69" t="s">
        <v>500</v>
      </c>
      <c r="C195" s="69" t="s">
        <v>878</v>
      </c>
      <c r="D195" s="71" t="s">
        <v>877</v>
      </c>
      <c r="E195" s="70" t="s">
        <v>32</v>
      </c>
      <c r="F195" s="75" t="s">
        <v>400</v>
      </c>
      <c r="G195" s="86" t="s">
        <v>913</v>
      </c>
      <c r="H195" s="69" t="s">
        <v>387</v>
      </c>
      <c r="I195" s="112" t="e">
        <f>VLOOKUP(H195,Dados!$B$2:$C$50,2,0)</f>
        <v>#N/A</v>
      </c>
      <c r="J195" s="111" t="e">
        <f>VLOOKUP(H195,Dados!$B$2:$E$50,4,0)</f>
        <v>#N/A</v>
      </c>
    </row>
    <row r="196" spans="1:10" ht="22.8" hidden="1" x14ac:dyDescent="0.2">
      <c r="A196" s="69" t="s">
        <v>22</v>
      </c>
      <c r="B196" s="69" t="s">
        <v>879</v>
      </c>
      <c r="C196" s="69" t="s">
        <v>880</v>
      </c>
      <c r="D196" s="71" t="s">
        <v>881</v>
      </c>
      <c r="E196" s="70" t="s">
        <v>91</v>
      </c>
      <c r="F196" s="75" t="s">
        <v>401</v>
      </c>
      <c r="G196" s="86" t="s">
        <v>893</v>
      </c>
      <c r="H196" s="69" t="s">
        <v>370</v>
      </c>
      <c r="I196" s="112">
        <f>VLOOKUP(H196,Dados!$B$2:$C$50,2,0)</f>
        <v>10</v>
      </c>
      <c r="J196" s="111">
        <f>VLOOKUP(H196,Dados!$B$2:$E$50,4,0)</f>
        <v>98</v>
      </c>
    </row>
    <row r="197" spans="1:10" ht="91.2" x14ac:dyDescent="0.2">
      <c r="A197" s="69" t="s">
        <v>17</v>
      </c>
      <c r="B197" s="69" t="s">
        <v>897</v>
      </c>
      <c r="C197" s="69" t="s">
        <v>898</v>
      </c>
      <c r="D197" s="71" t="s">
        <v>895</v>
      </c>
      <c r="E197" s="70" t="s">
        <v>547</v>
      </c>
      <c r="F197" s="75" t="s">
        <v>379</v>
      </c>
      <c r="G197" s="86" t="s">
        <v>1332</v>
      </c>
      <c r="H197" s="69" t="s">
        <v>388</v>
      </c>
      <c r="I197" s="112">
        <f>VLOOKUP(H197,Dados!$B$2:$C$50,2,0)</f>
        <v>8</v>
      </c>
      <c r="J197" s="111">
        <f>VLOOKUP(H197,Dados!$B$2:$E$50,4,0)</f>
        <v>78</v>
      </c>
    </row>
    <row r="198" spans="1:10" ht="102.6" hidden="1" x14ac:dyDescent="0.2">
      <c r="A198" s="69" t="s">
        <v>39</v>
      </c>
      <c r="B198" s="69" t="s">
        <v>900</v>
      </c>
      <c r="C198" s="69" t="s">
        <v>901</v>
      </c>
      <c r="D198" s="71" t="s">
        <v>1169</v>
      </c>
      <c r="E198" s="70" t="s">
        <v>16</v>
      </c>
      <c r="F198" s="75" t="s">
        <v>400</v>
      </c>
      <c r="G198" s="86" t="s">
        <v>1175</v>
      </c>
      <c r="H198" s="69" t="s">
        <v>370</v>
      </c>
      <c r="I198" s="112">
        <f>VLOOKUP(H198,Dados!$B$2:$C$50,2,0)</f>
        <v>10</v>
      </c>
      <c r="J198" s="111">
        <f>VLOOKUP(H198,Dados!$B$2:$E$50,4,0)</f>
        <v>98</v>
      </c>
    </row>
    <row r="199" spans="1:10" ht="102.6" x14ac:dyDescent="0.2">
      <c r="A199" s="69" t="s">
        <v>39</v>
      </c>
      <c r="B199" s="69" t="s">
        <v>904</v>
      </c>
      <c r="C199" s="69" t="s">
        <v>905</v>
      </c>
      <c r="D199" s="71" t="s">
        <v>903</v>
      </c>
      <c r="E199" s="70" t="s">
        <v>906</v>
      </c>
      <c r="F199" s="75" t="s">
        <v>380</v>
      </c>
      <c r="G199" s="86" t="s">
        <v>911</v>
      </c>
      <c r="H199" s="69" t="s">
        <v>366</v>
      </c>
      <c r="I199" s="112">
        <f>VLOOKUP(H199,Dados!$B$2:$C$50,2,0)</f>
        <v>7</v>
      </c>
      <c r="J199" s="111">
        <f>VLOOKUP(H199,Dados!$B$2:$E$50,4,0)</f>
        <v>68</v>
      </c>
    </row>
    <row r="200" spans="1:10" ht="159.6" hidden="1" x14ac:dyDescent="0.2">
      <c r="A200" s="69" t="s">
        <v>39</v>
      </c>
      <c r="B200" s="69" t="s">
        <v>909</v>
      </c>
      <c r="C200" s="69" t="s">
        <v>910</v>
      </c>
      <c r="D200" s="71" t="s">
        <v>1208</v>
      </c>
      <c r="E200" s="70" t="s">
        <v>222</v>
      </c>
      <c r="F200" s="75" t="s">
        <v>379</v>
      </c>
      <c r="G200" s="86" t="s">
        <v>1210</v>
      </c>
      <c r="H200" s="69" t="s">
        <v>370</v>
      </c>
      <c r="I200" s="112">
        <f>VLOOKUP(H200,Dados!$B$2:$C$50,2,0)</f>
        <v>10</v>
      </c>
      <c r="J200" s="111">
        <f>VLOOKUP(H200,Dados!$B$2:$E$50,4,0)</f>
        <v>98</v>
      </c>
    </row>
    <row r="201" spans="1:10" ht="171" x14ac:dyDescent="0.2">
      <c r="A201" s="69" t="s">
        <v>17</v>
      </c>
      <c r="B201" s="69" t="s">
        <v>74</v>
      </c>
      <c r="C201" s="69" t="s">
        <v>916</v>
      </c>
      <c r="D201" s="71" t="s">
        <v>76</v>
      </c>
      <c r="E201" s="70" t="s">
        <v>77</v>
      </c>
      <c r="F201" s="75" t="s">
        <v>379</v>
      </c>
      <c r="G201" s="86" t="s">
        <v>1276</v>
      </c>
      <c r="H201" s="69" t="s">
        <v>386</v>
      </c>
      <c r="I201" s="112">
        <f>VLOOKUP(H201,Dados!$B$2:$C$50,2,0)</f>
        <v>9</v>
      </c>
      <c r="J201" s="111">
        <f>VLOOKUP(H201,Dados!$B$2:$E$50,4,0)</f>
        <v>88</v>
      </c>
    </row>
    <row r="202" spans="1:10" ht="22.8" hidden="1" x14ac:dyDescent="0.2">
      <c r="A202" s="69" t="s">
        <v>22</v>
      </c>
      <c r="B202" s="69" t="s">
        <v>918</v>
      </c>
      <c r="C202" s="69" t="s">
        <v>919</v>
      </c>
      <c r="D202" s="71" t="s">
        <v>920</v>
      </c>
      <c r="E202" s="70" t="s">
        <v>67</v>
      </c>
      <c r="F202" s="75" t="s">
        <v>401</v>
      </c>
      <c r="G202" s="86" t="s">
        <v>1052</v>
      </c>
      <c r="H202" s="69" t="s">
        <v>370</v>
      </c>
      <c r="I202" s="112">
        <f>VLOOKUP(H202,Dados!$B$2:$C$50,2,0)</f>
        <v>10</v>
      </c>
      <c r="J202" s="111">
        <f>VLOOKUP(H202,Dados!$B$2:$E$50,4,0)</f>
        <v>98</v>
      </c>
    </row>
    <row r="203" spans="1:10" ht="22.8" hidden="1" x14ac:dyDescent="0.2">
      <c r="A203" s="69" t="s">
        <v>22</v>
      </c>
      <c r="B203" s="69" t="s">
        <v>921</v>
      </c>
      <c r="C203" s="69" t="s">
        <v>661</v>
      </c>
      <c r="D203" s="71" t="s">
        <v>922</v>
      </c>
      <c r="E203" s="70" t="s">
        <v>91</v>
      </c>
      <c r="F203" s="75" t="s">
        <v>401</v>
      </c>
      <c r="G203" s="86" t="s">
        <v>979</v>
      </c>
      <c r="H203" s="69" t="s">
        <v>370</v>
      </c>
      <c r="I203" s="112">
        <f>VLOOKUP(H203,Dados!$B$2:$C$50,2,0)</f>
        <v>10</v>
      </c>
      <c r="J203" s="111">
        <f>VLOOKUP(H203,Dados!$B$2:$E$50,4,0)</f>
        <v>98</v>
      </c>
    </row>
    <row r="204" spans="1:10" ht="68.400000000000006" hidden="1" x14ac:dyDescent="0.2">
      <c r="A204" s="69"/>
      <c r="B204" s="69" t="s">
        <v>932</v>
      </c>
      <c r="C204" s="69" t="s">
        <v>933</v>
      </c>
      <c r="D204" s="71" t="s">
        <v>930</v>
      </c>
      <c r="E204" s="70" t="s">
        <v>86</v>
      </c>
      <c r="F204" s="75" t="s">
        <v>381</v>
      </c>
      <c r="G204" s="86" t="s">
        <v>934</v>
      </c>
      <c r="H204" s="69" t="s">
        <v>370</v>
      </c>
      <c r="I204" s="112">
        <f>VLOOKUP(H204,Dados!$B$2:$C$50,2,0)</f>
        <v>10</v>
      </c>
      <c r="J204" s="111">
        <f>VLOOKUP(H204,Dados!$B$2:$E$50,4,0)</f>
        <v>98</v>
      </c>
    </row>
    <row r="205" spans="1:10" ht="125.4" hidden="1" x14ac:dyDescent="0.2">
      <c r="A205" s="69" t="s">
        <v>17</v>
      </c>
      <c r="B205" s="69" t="s">
        <v>936</v>
      </c>
      <c r="C205" s="69" t="s">
        <v>937</v>
      </c>
      <c r="D205" s="71" t="s">
        <v>1176</v>
      </c>
      <c r="E205" s="70" t="s">
        <v>77</v>
      </c>
      <c r="F205" s="75" t="s">
        <v>400</v>
      </c>
      <c r="G205" s="86" t="s">
        <v>1177</v>
      </c>
      <c r="H205" s="69" t="s">
        <v>370</v>
      </c>
      <c r="I205" s="112">
        <f>VLOOKUP(H205,Dados!$B$2:$C$50,2,0)</f>
        <v>10</v>
      </c>
      <c r="J205" s="111">
        <f>VLOOKUP(H205,Dados!$B$2:$E$50,4,0)</f>
        <v>98</v>
      </c>
    </row>
    <row r="206" spans="1:10" ht="102.6" x14ac:dyDescent="0.2">
      <c r="A206" s="69"/>
      <c r="B206" s="69" t="s">
        <v>26</v>
      </c>
      <c r="C206" s="69" t="s">
        <v>938</v>
      </c>
      <c r="D206" s="71" t="s">
        <v>939</v>
      </c>
      <c r="E206" s="70" t="s">
        <v>16</v>
      </c>
      <c r="F206" s="75" t="s">
        <v>379</v>
      </c>
      <c r="G206" s="86" t="s">
        <v>954</v>
      </c>
      <c r="H206" s="69" t="s">
        <v>386</v>
      </c>
      <c r="I206" s="112">
        <f>VLOOKUP(H206,Dados!$B$2:$C$50,2,0)</f>
        <v>9</v>
      </c>
      <c r="J206" s="111">
        <f>VLOOKUP(H206,Dados!$B$2:$E$50,4,0)</f>
        <v>88</v>
      </c>
    </row>
    <row r="207" spans="1:10" ht="45.6" x14ac:dyDescent="0.2">
      <c r="A207" s="69"/>
      <c r="B207" s="69" t="s">
        <v>940</v>
      </c>
      <c r="C207" s="69" t="s">
        <v>941</v>
      </c>
      <c r="D207" s="71" t="s">
        <v>942</v>
      </c>
      <c r="E207" s="70" t="s">
        <v>132</v>
      </c>
      <c r="F207" s="75"/>
      <c r="G207" s="86" t="s">
        <v>943</v>
      </c>
      <c r="H207" s="69" t="s">
        <v>366</v>
      </c>
      <c r="I207" s="112">
        <f>VLOOKUP(H207,Dados!$B$2:$C$50,2,0)</f>
        <v>7</v>
      </c>
      <c r="J207" s="111">
        <f>VLOOKUP(H207,Dados!$B$2:$E$50,4,0)</f>
        <v>68</v>
      </c>
    </row>
    <row r="208" spans="1:10" ht="45.6" hidden="1" x14ac:dyDescent="0.2">
      <c r="A208" s="69" t="s">
        <v>22</v>
      </c>
      <c r="B208" s="69" t="s">
        <v>962</v>
      </c>
      <c r="C208" s="69" t="s">
        <v>960</v>
      </c>
      <c r="D208" s="71" t="s">
        <v>961</v>
      </c>
      <c r="E208" s="70" t="s">
        <v>132</v>
      </c>
      <c r="F208" s="75" t="s">
        <v>400</v>
      </c>
      <c r="G208" s="86" t="s">
        <v>973</v>
      </c>
      <c r="H208" s="69" t="s">
        <v>370</v>
      </c>
      <c r="I208" s="112">
        <f>VLOOKUP(H208,Dados!$B$2:$C$50,2,0)</f>
        <v>10</v>
      </c>
      <c r="J208" s="111">
        <f>VLOOKUP(H208,Dados!$B$2:$E$50,4,0)</f>
        <v>98</v>
      </c>
    </row>
    <row r="209" spans="1:10" ht="102.6" x14ac:dyDescent="0.2">
      <c r="A209" s="69" t="s">
        <v>17</v>
      </c>
      <c r="B209" s="69" t="s">
        <v>963</v>
      </c>
      <c r="C209" s="69" t="s">
        <v>271</v>
      </c>
      <c r="D209" s="71" t="s">
        <v>964</v>
      </c>
      <c r="E209" s="70" t="s">
        <v>72</v>
      </c>
      <c r="F209" s="75" t="s">
        <v>381</v>
      </c>
      <c r="G209" s="86" t="s">
        <v>1272</v>
      </c>
      <c r="H209" s="69" t="s">
        <v>366</v>
      </c>
      <c r="I209" s="112">
        <f>VLOOKUP(H209,Dados!$B$2:$C$50,2,0)</f>
        <v>7</v>
      </c>
      <c r="J209" s="111">
        <f>VLOOKUP(H209,Dados!$B$2:$E$50,4,0)</f>
        <v>68</v>
      </c>
    </row>
    <row r="210" spans="1:10" ht="125.4" hidden="1" x14ac:dyDescent="0.2">
      <c r="A210" s="69" t="s">
        <v>39</v>
      </c>
      <c r="B210" s="69" t="s">
        <v>560</v>
      </c>
      <c r="C210" s="69" t="s">
        <v>84</v>
      </c>
      <c r="D210" s="71" t="s">
        <v>1104</v>
      </c>
      <c r="E210" s="70" t="s">
        <v>8</v>
      </c>
      <c r="F210" s="75" t="s">
        <v>379</v>
      </c>
      <c r="G210" s="86" t="s">
        <v>1179</v>
      </c>
      <c r="H210" s="69" t="s">
        <v>387</v>
      </c>
      <c r="I210" s="112" t="e">
        <f>VLOOKUP(H210,Dados!$B$2:$C$50,2,0)</f>
        <v>#N/A</v>
      </c>
      <c r="J210" s="111" t="e">
        <f>VLOOKUP(H210,Dados!$B$2:$E$50,4,0)</f>
        <v>#N/A</v>
      </c>
    </row>
    <row r="211" spans="1:10" ht="34.200000000000003" hidden="1" x14ac:dyDescent="0.2">
      <c r="A211" s="69" t="s">
        <v>22</v>
      </c>
      <c r="B211" s="69" t="s">
        <v>967</v>
      </c>
      <c r="C211" s="69" t="s">
        <v>968</v>
      </c>
      <c r="D211" s="71" t="s">
        <v>1125</v>
      </c>
      <c r="E211" s="70" t="s">
        <v>91</v>
      </c>
      <c r="F211" s="75" t="s">
        <v>401</v>
      </c>
      <c r="G211" s="86" t="s">
        <v>1126</v>
      </c>
      <c r="H211" s="69" t="s">
        <v>370</v>
      </c>
      <c r="I211" s="112">
        <f>VLOOKUP(H211,Dados!$B$2:$C$50,2,0)</f>
        <v>10</v>
      </c>
      <c r="J211" s="111">
        <f>VLOOKUP(H211,Dados!$B$2:$E$50,4,0)</f>
        <v>98</v>
      </c>
    </row>
    <row r="212" spans="1:10" ht="22.8" hidden="1" x14ac:dyDescent="0.2">
      <c r="A212" s="69" t="s">
        <v>22</v>
      </c>
      <c r="B212" s="69" t="s">
        <v>169</v>
      </c>
      <c r="C212" s="69" t="s">
        <v>711</v>
      </c>
      <c r="D212" s="71" t="s">
        <v>1136</v>
      </c>
      <c r="E212" s="70" t="s">
        <v>32</v>
      </c>
      <c r="F212" s="75" t="s">
        <v>401</v>
      </c>
      <c r="G212" s="86" t="s">
        <v>1134</v>
      </c>
      <c r="H212" s="69" t="s">
        <v>370</v>
      </c>
      <c r="I212" s="112">
        <f>VLOOKUP(H212,Dados!$B$2:$C$50,2,0)</f>
        <v>10</v>
      </c>
      <c r="J212" s="111">
        <f>VLOOKUP(H212,Dados!$B$2:$E$50,4,0)</f>
        <v>98</v>
      </c>
    </row>
    <row r="213" spans="1:10" ht="22.8" hidden="1" x14ac:dyDescent="0.2">
      <c r="A213" s="69" t="s">
        <v>22</v>
      </c>
      <c r="B213" s="69" t="s">
        <v>969</v>
      </c>
      <c r="C213" s="69" t="s">
        <v>970</v>
      </c>
      <c r="D213" s="71" t="s">
        <v>1007</v>
      </c>
      <c r="E213" s="70" t="s">
        <v>132</v>
      </c>
      <c r="F213" s="75" t="s">
        <v>401</v>
      </c>
      <c r="G213" s="86" t="s">
        <v>1006</v>
      </c>
      <c r="H213" s="69" t="s">
        <v>370</v>
      </c>
      <c r="I213" s="112">
        <f>VLOOKUP(H213,Dados!$B$2:$C$50,2,0)</f>
        <v>10</v>
      </c>
      <c r="J213" s="111">
        <f>VLOOKUP(H213,Dados!$B$2:$E$50,4,0)</f>
        <v>98</v>
      </c>
    </row>
    <row r="214" spans="1:10" ht="34.200000000000003" x14ac:dyDescent="0.2">
      <c r="A214" s="69" t="s">
        <v>22</v>
      </c>
      <c r="B214" s="69" t="s">
        <v>971</v>
      </c>
      <c r="C214" s="69" t="s">
        <v>972</v>
      </c>
      <c r="D214" s="71" t="s">
        <v>1133</v>
      </c>
      <c r="E214" s="70" t="s">
        <v>91</v>
      </c>
      <c r="F214" s="75" t="s">
        <v>401</v>
      </c>
      <c r="G214" s="86" t="s">
        <v>1134</v>
      </c>
      <c r="H214" s="69" t="s">
        <v>386</v>
      </c>
      <c r="I214" s="112">
        <f>VLOOKUP(H214,Dados!$B$2:$C$50,2,0)</f>
        <v>9</v>
      </c>
      <c r="J214" s="111">
        <f>VLOOKUP(H214,Dados!$B$2:$E$50,4,0)</f>
        <v>88</v>
      </c>
    </row>
    <row r="215" spans="1:10" ht="34.200000000000003" hidden="1" x14ac:dyDescent="0.2">
      <c r="A215" s="69" t="s">
        <v>22</v>
      </c>
      <c r="B215" s="69" t="s">
        <v>971</v>
      </c>
      <c r="C215" s="69" t="s">
        <v>972</v>
      </c>
      <c r="D215" s="71" t="s">
        <v>1135</v>
      </c>
      <c r="E215" s="70" t="s">
        <v>91</v>
      </c>
      <c r="F215" s="75" t="s">
        <v>401</v>
      </c>
      <c r="G215" s="86" t="s">
        <v>1134</v>
      </c>
      <c r="H215" s="69" t="s">
        <v>370</v>
      </c>
      <c r="I215" s="112">
        <f>VLOOKUP(H215,Dados!$B$2:$C$50,2,0)</f>
        <v>10</v>
      </c>
      <c r="J215" s="111">
        <f>VLOOKUP(H215,Dados!$B$2:$E$50,4,0)</f>
        <v>98</v>
      </c>
    </row>
    <row r="216" spans="1:10" ht="34.200000000000003" x14ac:dyDescent="0.2">
      <c r="A216" s="69" t="s">
        <v>17</v>
      </c>
      <c r="B216" s="69" t="s">
        <v>473</v>
      </c>
      <c r="C216" s="69" t="s">
        <v>140</v>
      </c>
      <c r="D216" s="71" t="s">
        <v>346</v>
      </c>
      <c r="E216" s="70" t="s">
        <v>210</v>
      </c>
      <c r="F216" s="75" t="s">
        <v>381</v>
      </c>
      <c r="G216" s="86" t="s">
        <v>983</v>
      </c>
      <c r="H216" s="69" t="s">
        <v>362</v>
      </c>
      <c r="I216" s="112">
        <f>VLOOKUP(H216,Dados!$B$2:$C$50,2,0)</f>
        <v>1</v>
      </c>
      <c r="J216" s="111">
        <f>VLOOKUP(H216,Dados!$B$2:$E$50,4,0)</f>
        <v>8</v>
      </c>
    </row>
    <row r="217" spans="1:10" ht="79.8" hidden="1" x14ac:dyDescent="0.2">
      <c r="A217" s="69" t="s">
        <v>39</v>
      </c>
      <c r="B217" s="69" t="s">
        <v>985</v>
      </c>
      <c r="C217" s="69" t="s">
        <v>986</v>
      </c>
      <c r="D217" s="71" t="s">
        <v>1000</v>
      </c>
      <c r="E217" s="70" t="s">
        <v>210</v>
      </c>
      <c r="F217" s="75" t="s">
        <v>400</v>
      </c>
      <c r="G217" s="86" t="s">
        <v>1031</v>
      </c>
      <c r="H217" s="69" t="s">
        <v>368</v>
      </c>
      <c r="I217" s="112" t="e">
        <f>VLOOKUP(H217,Dados!$B$2:$C$50,2,0)</f>
        <v>#N/A</v>
      </c>
      <c r="J217" s="111" t="e">
        <f>VLOOKUP(H217,Dados!$B$2:$E$50,4,0)</f>
        <v>#N/A</v>
      </c>
    </row>
    <row r="218" spans="1:10" ht="22.8" hidden="1" x14ac:dyDescent="0.2">
      <c r="A218" s="69" t="s">
        <v>22</v>
      </c>
      <c r="B218" s="69" t="s">
        <v>500</v>
      </c>
      <c r="C218" s="69" t="s">
        <v>501</v>
      </c>
      <c r="D218" s="71" t="s">
        <v>1142</v>
      </c>
      <c r="E218" s="70" t="s">
        <v>32</v>
      </c>
      <c r="F218" s="75" t="s">
        <v>401</v>
      </c>
      <c r="G218" s="86" t="s">
        <v>1143</v>
      </c>
      <c r="H218" s="69" t="s">
        <v>370</v>
      </c>
      <c r="I218" s="112">
        <f>VLOOKUP(H218,Dados!$B$2:$C$50,2,0)</f>
        <v>10</v>
      </c>
      <c r="J218" s="111">
        <f>VLOOKUP(H218,Dados!$B$2:$E$50,4,0)</f>
        <v>98</v>
      </c>
    </row>
    <row r="219" spans="1:10" ht="114" hidden="1" x14ac:dyDescent="0.2">
      <c r="A219" s="69" t="s">
        <v>17</v>
      </c>
      <c r="B219" s="69" t="s">
        <v>987</v>
      </c>
      <c r="C219" s="69" t="s">
        <v>255</v>
      </c>
      <c r="D219" s="71" t="s">
        <v>988</v>
      </c>
      <c r="E219" s="70" t="s">
        <v>547</v>
      </c>
      <c r="F219" s="75" t="s">
        <v>400</v>
      </c>
      <c r="G219" s="86" t="s">
        <v>1141</v>
      </c>
      <c r="H219" s="69" t="s">
        <v>370</v>
      </c>
      <c r="I219" s="112">
        <f>VLOOKUP(H219,Dados!$B$2:$C$50,2,0)</f>
        <v>10</v>
      </c>
      <c r="J219" s="111">
        <f>VLOOKUP(H219,Dados!$B$2:$E$50,4,0)</f>
        <v>98</v>
      </c>
    </row>
    <row r="220" spans="1:10" ht="34.200000000000003" hidden="1" x14ac:dyDescent="0.2">
      <c r="A220" s="69" t="s">
        <v>22</v>
      </c>
      <c r="B220" s="69" t="s">
        <v>990</v>
      </c>
      <c r="C220" s="69" t="s">
        <v>994</v>
      </c>
      <c r="D220" s="71" t="s">
        <v>991</v>
      </c>
      <c r="E220" s="70" t="s">
        <v>91</v>
      </c>
      <c r="F220" s="75" t="s">
        <v>401</v>
      </c>
      <c r="G220" s="86" t="s">
        <v>1077</v>
      </c>
      <c r="H220" s="69" t="s">
        <v>370</v>
      </c>
      <c r="I220" s="112">
        <f>VLOOKUP(H220,Dados!$B$2:$C$50,2,0)</f>
        <v>10</v>
      </c>
      <c r="J220" s="111">
        <f>VLOOKUP(H220,Dados!$B$2:$E$50,4,0)</f>
        <v>98</v>
      </c>
    </row>
    <row r="221" spans="1:10" ht="34.200000000000003" hidden="1" x14ac:dyDescent="0.2">
      <c r="A221" s="69" t="s">
        <v>22</v>
      </c>
      <c r="B221" s="69" t="s">
        <v>992</v>
      </c>
      <c r="C221" s="69" t="s">
        <v>993</v>
      </c>
      <c r="D221" s="71" t="s">
        <v>1137</v>
      </c>
      <c r="E221" s="70" t="s">
        <v>91</v>
      </c>
      <c r="F221" s="75" t="s">
        <v>401</v>
      </c>
      <c r="G221" s="86" t="s">
        <v>1124</v>
      </c>
      <c r="H221" s="69" t="s">
        <v>370</v>
      </c>
      <c r="I221" s="112">
        <f>VLOOKUP(H221,Dados!$B$2:$C$50,2,0)</f>
        <v>10</v>
      </c>
      <c r="J221" s="111">
        <f>VLOOKUP(H221,Dados!$B$2:$E$50,4,0)</f>
        <v>98</v>
      </c>
    </row>
    <row r="222" spans="1:10" ht="34.200000000000003" hidden="1" x14ac:dyDescent="0.2">
      <c r="A222" s="69" t="s">
        <v>22</v>
      </c>
      <c r="B222" s="69" t="s">
        <v>690</v>
      </c>
      <c r="C222" s="69" t="s">
        <v>995</v>
      </c>
      <c r="D222" s="71" t="s">
        <v>1145</v>
      </c>
      <c r="E222" s="70" t="s">
        <v>91</v>
      </c>
      <c r="F222" s="75" t="s">
        <v>401</v>
      </c>
      <c r="G222" s="86" t="s">
        <v>1146</v>
      </c>
      <c r="H222" s="69" t="s">
        <v>370</v>
      </c>
      <c r="I222" s="112">
        <f>VLOOKUP(H222,Dados!$B$2:$C$50,2,0)</f>
        <v>10</v>
      </c>
      <c r="J222" s="111">
        <f>VLOOKUP(H222,Dados!$B$2:$E$50,4,0)</f>
        <v>98</v>
      </c>
    </row>
    <row r="223" spans="1:10" ht="34.200000000000003" hidden="1" x14ac:dyDescent="0.2">
      <c r="A223" s="69" t="s">
        <v>22</v>
      </c>
      <c r="B223" s="69" t="s">
        <v>996</v>
      </c>
      <c r="C223" s="69" t="s">
        <v>997</v>
      </c>
      <c r="D223" s="71" t="s">
        <v>1123</v>
      </c>
      <c r="E223" s="70" t="s">
        <v>91</v>
      </c>
      <c r="F223" s="75" t="s">
        <v>401</v>
      </c>
      <c r="G223" s="86" t="s">
        <v>1124</v>
      </c>
      <c r="H223" s="69" t="s">
        <v>370</v>
      </c>
      <c r="I223" s="112">
        <f>VLOOKUP(H223,Dados!$B$2:$C$50,2,0)</f>
        <v>10</v>
      </c>
      <c r="J223" s="111">
        <f>VLOOKUP(H223,Dados!$B$2:$E$50,4,0)</f>
        <v>98</v>
      </c>
    </row>
    <row r="224" spans="1:10" ht="57" hidden="1" x14ac:dyDescent="0.2">
      <c r="A224" s="69" t="s">
        <v>22</v>
      </c>
      <c r="B224" s="69" t="s">
        <v>1002</v>
      </c>
      <c r="C224" s="69" t="s">
        <v>1003</v>
      </c>
      <c r="D224" s="71" t="s">
        <v>1199</v>
      </c>
      <c r="E224" s="70" t="s">
        <v>16</v>
      </c>
      <c r="F224" s="75" t="s">
        <v>401</v>
      </c>
      <c r="G224" s="86" t="s">
        <v>1200</v>
      </c>
      <c r="H224" s="69" t="s">
        <v>370</v>
      </c>
      <c r="I224" s="112">
        <f>VLOOKUP(H224,Dados!$B$2:$C$50,2,0)</f>
        <v>10</v>
      </c>
      <c r="J224" s="111">
        <f>VLOOKUP(H224,Dados!$B$2:$E$50,4,0)</f>
        <v>98</v>
      </c>
    </row>
    <row r="225" spans="1:10" ht="57" hidden="1" x14ac:dyDescent="0.2">
      <c r="A225" s="69" t="s">
        <v>22</v>
      </c>
      <c r="B225" s="69" t="s">
        <v>1004</v>
      </c>
      <c r="C225" s="69" t="s">
        <v>1005</v>
      </c>
      <c r="D225" s="71" t="s">
        <v>1201</v>
      </c>
      <c r="E225" s="70" t="s">
        <v>77</v>
      </c>
      <c r="F225" s="75" t="s">
        <v>401</v>
      </c>
      <c r="G225" s="86" t="s">
        <v>1200</v>
      </c>
      <c r="H225" s="69" t="s">
        <v>370</v>
      </c>
      <c r="I225" s="112">
        <f>VLOOKUP(H225,Dados!$B$2:$C$50,2,0)</f>
        <v>10</v>
      </c>
      <c r="J225" s="111">
        <f>VLOOKUP(H225,Dados!$B$2:$E$50,4,0)</f>
        <v>98</v>
      </c>
    </row>
    <row r="226" spans="1:10" x14ac:dyDescent="0.2">
      <c r="A226" s="69" t="s">
        <v>17</v>
      </c>
      <c r="B226" s="69" t="s">
        <v>1016</v>
      </c>
      <c r="C226" s="69" t="s">
        <v>140</v>
      </c>
      <c r="D226" s="71" t="s">
        <v>1017</v>
      </c>
      <c r="E226" s="70" t="s">
        <v>210</v>
      </c>
      <c r="F226" s="75" t="s">
        <v>379</v>
      </c>
      <c r="G226" s="86" t="s">
        <v>1018</v>
      </c>
      <c r="H226" s="69" t="s">
        <v>362</v>
      </c>
      <c r="I226" s="112">
        <f>VLOOKUP(H226,Dados!$B$2:$C$50,2,0)</f>
        <v>1</v>
      </c>
      <c r="J226" s="111">
        <f>VLOOKUP(H226,Dados!$B$2:$E$50,4,0)</f>
        <v>8</v>
      </c>
    </row>
    <row r="227" spans="1:10" ht="102.6" hidden="1" x14ac:dyDescent="0.2">
      <c r="A227" s="69" t="s">
        <v>17</v>
      </c>
      <c r="B227" s="69" t="s">
        <v>1020</v>
      </c>
      <c r="C227" s="69" t="s">
        <v>1021</v>
      </c>
      <c r="D227" s="71" t="s">
        <v>1034</v>
      </c>
      <c r="E227" s="70" t="s">
        <v>77</v>
      </c>
      <c r="F227" s="75" t="s">
        <v>400</v>
      </c>
      <c r="G227" s="86" t="s">
        <v>1174</v>
      </c>
      <c r="H227" s="69" t="s">
        <v>370</v>
      </c>
      <c r="I227" s="112">
        <f>VLOOKUP(H227,Dados!$B$2:$C$50,2,0)</f>
        <v>10</v>
      </c>
      <c r="J227" s="111">
        <f>VLOOKUP(H227,Dados!$B$2:$E$50,4,0)</f>
        <v>98</v>
      </c>
    </row>
    <row r="228" spans="1:10" ht="34.200000000000003" hidden="1" x14ac:dyDescent="0.2">
      <c r="A228" s="69" t="s">
        <v>22</v>
      </c>
      <c r="B228" s="69" t="s">
        <v>1022</v>
      </c>
      <c r="C228" s="69" t="s">
        <v>1023</v>
      </c>
      <c r="D228" s="71" t="s">
        <v>1024</v>
      </c>
      <c r="E228" s="70" t="s">
        <v>132</v>
      </c>
      <c r="F228" s="75" t="s">
        <v>401</v>
      </c>
      <c r="G228" s="86" t="s">
        <v>1032</v>
      </c>
      <c r="H228" s="69" t="s">
        <v>370</v>
      </c>
      <c r="I228" s="112">
        <f>VLOOKUP(H228,Dados!$B$2:$C$50,2,0)</f>
        <v>10</v>
      </c>
      <c r="J228" s="111">
        <f>VLOOKUP(H228,Dados!$B$2:$E$50,4,0)</f>
        <v>98</v>
      </c>
    </row>
    <row r="229" spans="1:10" ht="22.8" hidden="1" x14ac:dyDescent="0.2">
      <c r="A229" s="69" t="s">
        <v>22</v>
      </c>
      <c r="B229" s="69" t="s">
        <v>283</v>
      </c>
      <c r="C229" s="69" t="s">
        <v>1025</v>
      </c>
      <c r="D229" s="71" t="s">
        <v>1026</v>
      </c>
      <c r="E229" s="70" t="s">
        <v>91</v>
      </c>
      <c r="F229" s="75" t="s">
        <v>401</v>
      </c>
      <c r="G229" s="86" t="s">
        <v>1078</v>
      </c>
      <c r="H229" s="69" t="s">
        <v>370</v>
      </c>
      <c r="I229" s="112">
        <f>VLOOKUP(H229,Dados!$B$2:$C$50,2,0)</f>
        <v>10</v>
      </c>
      <c r="J229" s="111">
        <f>VLOOKUP(H229,Dados!$B$2:$E$50,4,0)</f>
        <v>98</v>
      </c>
    </row>
    <row r="230" spans="1:10" ht="68.400000000000006" x14ac:dyDescent="0.2">
      <c r="A230" s="69" t="s">
        <v>39</v>
      </c>
      <c r="B230" s="69" t="s">
        <v>1028</v>
      </c>
      <c r="C230" s="69" t="s">
        <v>1029</v>
      </c>
      <c r="D230" s="71" t="s">
        <v>1033</v>
      </c>
      <c r="E230" s="70" t="s">
        <v>77</v>
      </c>
      <c r="F230" s="75" t="s">
        <v>400</v>
      </c>
      <c r="G230" s="86" t="s">
        <v>1035</v>
      </c>
      <c r="H230" s="69" t="s">
        <v>386</v>
      </c>
      <c r="I230" s="112">
        <f>VLOOKUP(H230,Dados!$B$2:$C$50,2,0)</f>
        <v>9</v>
      </c>
      <c r="J230" s="111">
        <f>VLOOKUP(H230,Dados!$B$2:$E$50,4,0)</f>
        <v>88</v>
      </c>
    </row>
    <row r="231" spans="1:10" ht="34.200000000000003" hidden="1" x14ac:dyDescent="0.2">
      <c r="A231" s="69" t="s">
        <v>22</v>
      </c>
      <c r="B231" s="69" t="s">
        <v>1036</v>
      </c>
      <c r="C231" s="69" t="s">
        <v>1037</v>
      </c>
      <c r="D231" s="71" t="s">
        <v>1195</v>
      </c>
      <c r="E231" s="70" t="s">
        <v>91</v>
      </c>
      <c r="F231" s="75" t="s">
        <v>401</v>
      </c>
      <c r="G231" s="86" t="s">
        <v>1196</v>
      </c>
      <c r="H231" s="69" t="s">
        <v>370</v>
      </c>
      <c r="I231" s="112">
        <f>VLOOKUP(H231,Dados!$B$2:$C$50,2,0)</f>
        <v>10</v>
      </c>
      <c r="J231" s="111">
        <f>VLOOKUP(H231,Dados!$B$2:$E$50,4,0)</f>
        <v>98</v>
      </c>
    </row>
    <row r="232" spans="1:10" ht="57" x14ac:dyDescent="0.2">
      <c r="A232" s="69" t="s">
        <v>10</v>
      </c>
      <c r="B232" s="69" t="s">
        <v>1041</v>
      </c>
      <c r="C232" s="69" t="s">
        <v>844</v>
      </c>
      <c r="D232" s="71" t="s">
        <v>1042</v>
      </c>
      <c r="E232" s="70" t="s">
        <v>53</v>
      </c>
      <c r="F232" s="75" t="s">
        <v>379</v>
      </c>
      <c r="G232" s="86" t="s">
        <v>1328</v>
      </c>
      <c r="H232" s="69" t="s">
        <v>364</v>
      </c>
      <c r="I232" s="112">
        <f>VLOOKUP(H232,Dados!$B$2:$C$50,2,0)</f>
        <v>5</v>
      </c>
      <c r="J232" s="111">
        <f>VLOOKUP(H232,Dados!$B$2:$E$50,4,0)</f>
        <v>48</v>
      </c>
    </row>
    <row r="233" spans="1:10" ht="45.6" hidden="1" x14ac:dyDescent="0.2">
      <c r="A233" s="69" t="s">
        <v>22</v>
      </c>
      <c r="B233" s="69" t="s">
        <v>1044</v>
      </c>
      <c r="C233" s="69" t="s">
        <v>1045</v>
      </c>
      <c r="D233" s="71" t="s">
        <v>1131</v>
      </c>
      <c r="E233" s="70" t="s">
        <v>91</v>
      </c>
      <c r="F233" s="75" t="s">
        <v>401</v>
      </c>
      <c r="G233" s="86" t="s">
        <v>1132</v>
      </c>
      <c r="H233" s="69" t="s">
        <v>370</v>
      </c>
      <c r="I233" s="112">
        <f>VLOOKUP(H233,Dados!$B$2:$C$50,2,0)</f>
        <v>10</v>
      </c>
      <c r="J233" s="111">
        <f>VLOOKUP(H233,Dados!$B$2:$E$50,4,0)</f>
        <v>98</v>
      </c>
    </row>
    <row r="234" spans="1:10" ht="22.8" hidden="1" x14ac:dyDescent="0.2">
      <c r="A234" s="69" t="s">
        <v>22</v>
      </c>
      <c r="B234" s="69" t="s">
        <v>1046</v>
      </c>
      <c r="C234" s="69" t="s">
        <v>605</v>
      </c>
      <c r="D234" s="71" t="s">
        <v>1047</v>
      </c>
      <c r="E234" s="70" t="s">
        <v>43</v>
      </c>
      <c r="F234" s="75" t="s">
        <v>401</v>
      </c>
      <c r="G234" s="86" t="s">
        <v>1227</v>
      </c>
      <c r="H234" s="69" t="s">
        <v>370</v>
      </c>
      <c r="I234" s="112">
        <f>VLOOKUP(H234,Dados!$B$2:$C$50,2,0)</f>
        <v>10</v>
      </c>
      <c r="J234" s="111">
        <f>VLOOKUP(H234,Dados!$B$2:$E$50,4,0)</f>
        <v>98</v>
      </c>
    </row>
    <row r="235" spans="1:10" ht="148.19999999999999" hidden="1" x14ac:dyDescent="0.2">
      <c r="A235" s="69" t="s">
        <v>17</v>
      </c>
      <c r="B235" s="69" t="s">
        <v>524</v>
      </c>
      <c r="C235" s="69" t="s">
        <v>84</v>
      </c>
      <c r="D235" s="71" t="s">
        <v>522</v>
      </c>
      <c r="E235" s="70" t="s">
        <v>210</v>
      </c>
      <c r="F235" s="75" t="s">
        <v>381</v>
      </c>
      <c r="G235" s="86" t="s">
        <v>1232</v>
      </c>
      <c r="H235" s="69" t="s">
        <v>366</v>
      </c>
      <c r="I235" s="112"/>
      <c r="J235" s="111">
        <f>VLOOKUP(H235,Dados!$B$2:$E$50,4,0)</f>
        <v>68</v>
      </c>
    </row>
    <row r="236" spans="1:10" ht="40.799999999999997" hidden="1" x14ac:dyDescent="0.25">
      <c r="A236" s="69" t="s">
        <v>22</v>
      </c>
      <c r="B236" s="69" t="s">
        <v>1049</v>
      </c>
      <c r="C236" s="69" t="s">
        <v>1048</v>
      </c>
      <c r="D236" s="71" t="s">
        <v>1248</v>
      </c>
      <c r="E236" s="70" t="s">
        <v>77</v>
      </c>
      <c r="F236" s="75" t="s">
        <v>401</v>
      </c>
      <c r="G236" s="70" t="s">
        <v>1247</v>
      </c>
      <c r="H236" s="69" t="s">
        <v>370</v>
      </c>
      <c r="I236" s="112">
        <f>VLOOKUP(H236,Dados!$B$2:$C$50,2,0)</f>
        <v>10</v>
      </c>
      <c r="J236" s="111">
        <f>VLOOKUP(H236,Dados!$B$2:$E$50,4,0)</f>
        <v>98</v>
      </c>
    </row>
    <row r="237" spans="1:10" ht="51" hidden="1" x14ac:dyDescent="0.25">
      <c r="A237" s="69" t="s">
        <v>22</v>
      </c>
      <c r="B237" s="69" t="s">
        <v>1061</v>
      </c>
      <c r="C237" s="69" t="s">
        <v>1062</v>
      </c>
      <c r="D237" s="71" t="s">
        <v>1246</v>
      </c>
      <c r="E237" s="70" t="s">
        <v>32</v>
      </c>
      <c r="F237" s="75" t="s">
        <v>401</v>
      </c>
      <c r="G237" s="70" t="s">
        <v>1247</v>
      </c>
      <c r="H237" s="69" t="s">
        <v>370</v>
      </c>
      <c r="I237" s="112">
        <f>VLOOKUP(H237,Dados!$B$2:$C$50,2,0)</f>
        <v>10</v>
      </c>
      <c r="J237" s="111">
        <f>VLOOKUP(H237,Dados!$B$2:$E$50,4,0)</f>
        <v>98</v>
      </c>
    </row>
    <row r="238" spans="1:10" ht="22.8" hidden="1" x14ac:dyDescent="0.2">
      <c r="A238" s="69" t="s">
        <v>22</v>
      </c>
      <c r="B238" s="69" t="s">
        <v>1064</v>
      </c>
      <c r="C238" s="69" t="s">
        <v>1065</v>
      </c>
      <c r="D238" s="71" t="s">
        <v>1108</v>
      </c>
      <c r="E238" s="70" t="s">
        <v>91</v>
      </c>
      <c r="F238" s="75" t="s">
        <v>401</v>
      </c>
      <c r="G238" s="86" t="s">
        <v>1109</v>
      </c>
      <c r="H238" s="69" t="s">
        <v>370</v>
      </c>
      <c r="I238" s="112">
        <f>VLOOKUP(H238,Dados!$B$2:$C$50,2,0)</f>
        <v>10</v>
      </c>
      <c r="J238" s="111">
        <f>VLOOKUP(H238,Dados!$B$2:$E$50,4,0)</f>
        <v>98</v>
      </c>
    </row>
    <row r="239" spans="1:10" ht="22.8" hidden="1" x14ac:dyDescent="0.2">
      <c r="A239" s="69" t="s">
        <v>22</v>
      </c>
      <c r="B239" s="69" t="s">
        <v>1067</v>
      </c>
      <c r="C239" s="69" t="s">
        <v>1068</v>
      </c>
      <c r="D239" s="71" t="s">
        <v>1127</v>
      </c>
      <c r="E239" s="70" t="s">
        <v>91</v>
      </c>
      <c r="F239" s="75" t="s">
        <v>401</v>
      </c>
      <c r="G239" s="86" t="s">
        <v>1128</v>
      </c>
      <c r="H239" s="69" t="s">
        <v>370</v>
      </c>
      <c r="I239" s="112">
        <f>VLOOKUP(H239,Dados!$B$2:$C$50,2,0)</f>
        <v>10</v>
      </c>
      <c r="J239" s="111">
        <f>VLOOKUP(H239,Dados!$B$2:$E$50,4,0)</f>
        <v>98</v>
      </c>
    </row>
    <row r="240" spans="1:10" ht="22.8" x14ac:dyDescent="0.2">
      <c r="A240" s="69" t="s">
        <v>22</v>
      </c>
      <c r="B240" s="69" t="s">
        <v>1070</v>
      </c>
      <c r="C240" s="69" t="s">
        <v>1071</v>
      </c>
      <c r="D240" s="71" t="s">
        <v>1073</v>
      </c>
      <c r="E240" s="70" t="s">
        <v>360</v>
      </c>
      <c r="F240" s="75" t="s">
        <v>401</v>
      </c>
      <c r="G240" s="86" t="s">
        <v>1050</v>
      </c>
      <c r="H240" s="69" t="s">
        <v>386</v>
      </c>
      <c r="I240" s="112">
        <f>VLOOKUP(H240,Dados!$B$2:$C$50,2,0)</f>
        <v>9</v>
      </c>
      <c r="J240" s="111">
        <f>VLOOKUP(H240,Dados!$B$2:$E$50,4,0)</f>
        <v>88</v>
      </c>
    </row>
    <row r="241" spans="1:10" ht="148.19999999999999" hidden="1" x14ac:dyDescent="0.2">
      <c r="A241" s="69" t="s">
        <v>10</v>
      </c>
      <c r="B241" s="69" t="s">
        <v>1074</v>
      </c>
      <c r="C241" s="69" t="s">
        <v>1076</v>
      </c>
      <c r="D241" s="71" t="s">
        <v>1075</v>
      </c>
      <c r="E241" s="70" t="s">
        <v>32</v>
      </c>
      <c r="F241" s="75" t="s">
        <v>400</v>
      </c>
      <c r="G241" s="86" t="s">
        <v>1274</v>
      </c>
      <c r="H241" s="69" t="s">
        <v>370</v>
      </c>
      <c r="I241" s="112">
        <f>VLOOKUP(H241,Dados!$B$2:$C$50,2,0)</f>
        <v>10</v>
      </c>
      <c r="J241" s="111">
        <f>VLOOKUP(H241,Dados!$B$2:$E$50,4,0)</f>
        <v>98</v>
      </c>
    </row>
    <row r="242" spans="1:10" ht="68.400000000000006" hidden="1" x14ac:dyDescent="0.2">
      <c r="A242" s="69" t="s">
        <v>39</v>
      </c>
      <c r="B242" s="69" t="s">
        <v>517</v>
      </c>
      <c r="C242" s="69" t="s">
        <v>84</v>
      </c>
      <c r="D242" s="71" t="s">
        <v>1080</v>
      </c>
      <c r="E242" s="70" t="s">
        <v>67</v>
      </c>
      <c r="F242" s="75" t="s">
        <v>381</v>
      </c>
      <c r="G242" s="86" t="s">
        <v>1099</v>
      </c>
      <c r="H242" s="69" t="s">
        <v>370</v>
      </c>
      <c r="I242" s="112">
        <f>VLOOKUP(H242,Dados!$B$2:$C$50,2,0)</f>
        <v>10</v>
      </c>
      <c r="J242" s="111">
        <f>VLOOKUP(H242,Dados!$B$2:$E$50,4,0)</f>
        <v>98</v>
      </c>
    </row>
    <row r="243" spans="1:10" ht="57" x14ac:dyDescent="0.2">
      <c r="A243" s="69" t="s">
        <v>39</v>
      </c>
      <c r="B243" s="70" t="s">
        <v>92</v>
      </c>
      <c r="C243" s="70" t="s">
        <v>93</v>
      </c>
      <c r="D243" s="71" t="s">
        <v>1081</v>
      </c>
      <c r="E243" s="69" t="s">
        <v>16</v>
      </c>
      <c r="F243" s="75" t="s">
        <v>379</v>
      </c>
      <c r="G243" s="86" t="s">
        <v>1091</v>
      </c>
      <c r="H243" s="69" t="s">
        <v>386</v>
      </c>
      <c r="I243" s="113">
        <f>VLOOKUP(H243,Dados!$B$2:$C$50,2,0)</f>
        <v>9</v>
      </c>
      <c r="J243" s="111">
        <f>VLOOKUP(H243,Dados!$B$2:$E$50,4,0)</f>
        <v>88</v>
      </c>
    </row>
    <row r="244" spans="1:10" ht="34.200000000000003" hidden="1" x14ac:dyDescent="0.2">
      <c r="A244" s="69" t="s">
        <v>22</v>
      </c>
      <c r="B244" s="69" t="s">
        <v>1085</v>
      </c>
      <c r="C244" s="69" t="s">
        <v>1088</v>
      </c>
      <c r="D244" s="71" t="s">
        <v>1129</v>
      </c>
      <c r="E244" s="70" t="s">
        <v>91</v>
      </c>
      <c r="F244" s="75" t="s">
        <v>401</v>
      </c>
      <c r="G244" s="86" t="s">
        <v>1130</v>
      </c>
      <c r="H244" s="69" t="s">
        <v>370</v>
      </c>
      <c r="I244" s="113">
        <f>VLOOKUP(H244,Dados!$B$2:$C$50,2,0)</f>
        <v>10</v>
      </c>
      <c r="J244" s="111">
        <f>VLOOKUP(H244,Dados!$B$2:$E$50,4,0)</f>
        <v>98</v>
      </c>
    </row>
    <row r="245" spans="1:10" ht="102.6" x14ac:dyDescent="0.2">
      <c r="A245" s="69" t="s">
        <v>39</v>
      </c>
      <c r="B245" s="69" t="s">
        <v>578</v>
      </c>
      <c r="C245" s="107" t="s">
        <v>1096</v>
      </c>
      <c r="D245" s="71" t="s">
        <v>1097</v>
      </c>
      <c r="E245" s="70" t="s">
        <v>16</v>
      </c>
      <c r="F245" s="75" t="s">
        <v>379</v>
      </c>
      <c r="G245" s="86" t="s">
        <v>1287</v>
      </c>
      <c r="H245" s="69" t="s">
        <v>366</v>
      </c>
      <c r="I245" s="113">
        <f>VLOOKUP(H245,Dados!$B$2:$C$50,2,0)</f>
        <v>7</v>
      </c>
      <c r="J245" s="111">
        <f>VLOOKUP(H245,Dados!$B$2:$E$50,4,0)</f>
        <v>68</v>
      </c>
    </row>
    <row r="246" spans="1:10" ht="145.19999999999999" x14ac:dyDescent="0.25">
      <c r="A246" s="69" t="s">
        <v>58</v>
      </c>
      <c r="B246" s="69" t="s">
        <v>1101</v>
      </c>
      <c r="C246" s="10" t="s">
        <v>1102</v>
      </c>
      <c r="D246" s="71" t="s">
        <v>1103</v>
      </c>
      <c r="E246" s="2" t="s">
        <v>32</v>
      </c>
      <c r="F246" s="75" t="s">
        <v>400</v>
      </c>
      <c r="G246" s="106" t="s">
        <v>1245</v>
      </c>
      <c r="H246" s="69" t="s">
        <v>386</v>
      </c>
      <c r="I246" s="113">
        <f>VLOOKUP(H246,Dados!$B$2:$C$50,2,0)</f>
        <v>9</v>
      </c>
      <c r="J246" s="111">
        <f>VLOOKUP(H246,Dados!$B$2:$E$50,4,0)</f>
        <v>88</v>
      </c>
    </row>
    <row r="247" spans="1:10" ht="52.8" hidden="1" x14ac:dyDescent="0.25">
      <c r="A247" s="69" t="s">
        <v>22</v>
      </c>
      <c r="B247" s="69" t="s">
        <v>1113</v>
      </c>
      <c r="C247" s="10" t="s">
        <v>1114</v>
      </c>
      <c r="D247" s="71" t="s">
        <v>1115</v>
      </c>
      <c r="E247" s="2" t="s">
        <v>91</v>
      </c>
      <c r="F247" s="75" t="s">
        <v>401</v>
      </c>
      <c r="G247" s="106" t="s">
        <v>1151</v>
      </c>
      <c r="H247" s="69" t="s">
        <v>370</v>
      </c>
      <c r="I247" s="113">
        <f>VLOOKUP(H247,Dados!$B$2:$C$50,2,0)</f>
        <v>10</v>
      </c>
      <c r="J247" s="111">
        <f>VLOOKUP(H247,Dados!$B$2:$E$50,4,0)</f>
        <v>98</v>
      </c>
    </row>
    <row r="248" spans="1:10" ht="39.6" x14ac:dyDescent="0.25">
      <c r="A248" s="69" t="s">
        <v>10</v>
      </c>
      <c r="B248" s="69" t="s">
        <v>1117</v>
      </c>
      <c r="C248" s="10" t="s">
        <v>1118</v>
      </c>
      <c r="D248" s="71" t="s">
        <v>1119</v>
      </c>
      <c r="E248" s="2" t="s">
        <v>32</v>
      </c>
      <c r="F248" s="75" t="s">
        <v>401</v>
      </c>
      <c r="G248" s="106" t="s">
        <v>1206</v>
      </c>
      <c r="H248" s="69" t="s">
        <v>628</v>
      </c>
      <c r="I248" s="113">
        <f>VLOOKUP(H248,Dados!$B$2:$C$50,2,0)</f>
        <v>4</v>
      </c>
      <c r="J248" s="111">
        <f>VLOOKUP(H248,Dados!$B$2:$E$50,4,0)</f>
        <v>38</v>
      </c>
    </row>
    <row r="249" spans="1:10" ht="66" hidden="1" x14ac:dyDescent="0.25">
      <c r="A249" s="69" t="s">
        <v>39</v>
      </c>
      <c r="B249" s="69" t="s">
        <v>1144</v>
      </c>
      <c r="C249" s="10" t="s">
        <v>1121</v>
      </c>
      <c r="D249" s="71" t="s">
        <v>1122</v>
      </c>
      <c r="E249" s="2" t="s">
        <v>32</v>
      </c>
      <c r="F249" s="75" t="s">
        <v>400</v>
      </c>
      <c r="G249" s="106" t="s">
        <v>1178</v>
      </c>
      <c r="H249" s="69" t="s">
        <v>387</v>
      </c>
      <c r="I249" s="113" t="e">
        <f>VLOOKUP(H249,Dados!$B$2:$C$50,2,0)</f>
        <v>#N/A</v>
      </c>
      <c r="J249" s="111" t="e">
        <f>VLOOKUP(H249,Dados!$B$2:$E$50,4,0)</f>
        <v>#N/A</v>
      </c>
    </row>
    <row r="250" spans="1:10" ht="52.8" hidden="1" x14ac:dyDescent="0.25">
      <c r="A250" s="69" t="s">
        <v>39</v>
      </c>
      <c r="B250" s="69" t="s">
        <v>1152</v>
      </c>
      <c r="C250" s="10" t="s">
        <v>1153</v>
      </c>
      <c r="D250" s="71" t="s">
        <v>1154</v>
      </c>
      <c r="E250" s="2" t="s">
        <v>91</v>
      </c>
      <c r="F250" s="75" t="s">
        <v>401</v>
      </c>
      <c r="G250" s="106" t="s">
        <v>1172</v>
      </c>
      <c r="H250" s="69" t="s">
        <v>370</v>
      </c>
      <c r="I250" s="113">
        <f>VLOOKUP(H250,Dados!$B$2:$C$50,2,0)</f>
        <v>10</v>
      </c>
      <c r="J250" s="111">
        <f>VLOOKUP(H250,Dados!$B$2:$E$50,4,0)</f>
        <v>98</v>
      </c>
    </row>
    <row r="251" spans="1:10" ht="39.6" hidden="1" x14ac:dyDescent="0.25">
      <c r="A251" s="69" t="s">
        <v>39</v>
      </c>
      <c r="B251" s="69" t="s">
        <v>1161</v>
      </c>
      <c r="C251" s="10" t="s">
        <v>1162</v>
      </c>
      <c r="D251" s="71" t="s">
        <v>1163</v>
      </c>
      <c r="E251" s="2" t="s">
        <v>16</v>
      </c>
      <c r="F251" s="75" t="s">
        <v>401</v>
      </c>
      <c r="G251" s="106" t="s">
        <v>1226</v>
      </c>
      <c r="H251" s="69" t="s">
        <v>370</v>
      </c>
      <c r="I251" s="113">
        <f>VLOOKUP(H251,Dados!$B$2:$C$50,2,0)</f>
        <v>10</v>
      </c>
      <c r="J251" s="111">
        <f>VLOOKUP(H251,Dados!$B$2:$E$50,4,0)</f>
        <v>98</v>
      </c>
    </row>
    <row r="252" spans="1:10" ht="40.799999999999997" hidden="1" x14ac:dyDescent="0.25">
      <c r="A252" s="69" t="s">
        <v>39</v>
      </c>
      <c r="B252" s="69" t="s">
        <v>1180</v>
      </c>
      <c r="C252" s="10" t="s">
        <v>1181</v>
      </c>
      <c r="D252" s="71" t="s">
        <v>1233</v>
      </c>
      <c r="E252" s="2" t="s">
        <v>16</v>
      </c>
      <c r="F252" s="75" t="s">
        <v>401</v>
      </c>
      <c r="G252" s="106" t="s">
        <v>1234</v>
      </c>
      <c r="H252" s="69" t="s">
        <v>370</v>
      </c>
      <c r="I252" s="113">
        <f>VLOOKUP(H252,Dados!$B$2:$C$50,2,0)</f>
        <v>10</v>
      </c>
      <c r="J252" s="111">
        <f>VLOOKUP(H252,Dados!$B$2:$E$50,4,0)</f>
        <v>98</v>
      </c>
    </row>
    <row r="253" spans="1:10" ht="26.4" hidden="1" x14ac:dyDescent="0.25">
      <c r="A253" s="69" t="s">
        <v>39</v>
      </c>
      <c r="B253" s="69" t="s">
        <v>1182</v>
      </c>
      <c r="C253" s="10" t="s">
        <v>880</v>
      </c>
      <c r="D253" s="71" t="s">
        <v>1183</v>
      </c>
      <c r="E253" s="2" t="s">
        <v>91</v>
      </c>
      <c r="F253" s="75" t="s">
        <v>401</v>
      </c>
      <c r="G253" s="106" t="s">
        <v>1198</v>
      </c>
      <c r="H253" s="69" t="s">
        <v>370</v>
      </c>
      <c r="I253" s="113">
        <f>VLOOKUP(H253,Dados!$B$2:$C$50,2,0)</f>
        <v>10</v>
      </c>
      <c r="J253" s="111">
        <f>VLOOKUP(H253,Dados!$B$2:$E$50,4,0)</f>
        <v>98</v>
      </c>
    </row>
    <row r="254" spans="1:10" ht="26.4" hidden="1" x14ac:dyDescent="0.25">
      <c r="A254" s="69" t="s">
        <v>39</v>
      </c>
      <c r="B254" s="69" t="s">
        <v>599</v>
      </c>
      <c r="C254" s="10" t="s">
        <v>600</v>
      </c>
      <c r="D254" s="71" t="s">
        <v>1188</v>
      </c>
      <c r="E254" s="2" t="s">
        <v>53</v>
      </c>
      <c r="F254" s="75" t="s">
        <v>401</v>
      </c>
      <c r="G254" s="106" t="s">
        <v>1209</v>
      </c>
      <c r="H254" s="69" t="s">
        <v>370</v>
      </c>
      <c r="I254" s="113">
        <f>VLOOKUP(H254,Dados!$B$2:$C$50,2,0)</f>
        <v>10</v>
      </c>
      <c r="J254" s="111">
        <f>VLOOKUP(H254,Dados!$B$2:$E$50,4,0)</f>
        <v>98</v>
      </c>
    </row>
    <row r="255" spans="1:10" ht="132" hidden="1" x14ac:dyDescent="0.25">
      <c r="A255" s="69" t="s">
        <v>10</v>
      </c>
      <c r="B255" s="69" t="s">
        <v>909</v>
      </c>
      <c r="C255" s="10" t="s">
        <v>1197</v>
      </c>
      <c r="D255" s="71" t="s">
        <v>1208</v>
      </c>
      <c r="E255" s="2" t="s">
        <v>222</v>
      </c>
      <c r="F255" s="75" t="s">
        <v>381</v>
      </c>
      <c r="G255" s="106" t="s">
        <v>1345</v>
      </c>
      <c r="H255" s="69" t="s">
        <v>370</v>
      </c>
      <c r="I255" s="113">
        <f>VLOOKUP(H255,Dados!$B$2:$C$50,2,0)</f>
        <v>10</v>
      </c>
      <c r="J255" s="111">
        <f>VLOOKUP(H255,Dados!$B$2:$E$50,4,0)</f>
        <v>98</v>
      </c>
    </row>
    <row r="256" spans="1:10" ht="13.2" x14ac:dyDescent="0.25">
      <c r="A256" s="69" t="s">
        <v>58</v>
      </c>
      <c r="B256" s="69" t="s">
        <v>804</v>
      </c>
      <c r="C256" s="10" t="s">
        <v>1204</v>
      </c>
      <c r="D256" s="71" t="s">
        <v>803</v>
      </c>
      <c r="E256" s="2" t="s">
        <v>91</v>
      </c>
      <c r="F256" s="75" t="s">
        <v>379</v>
      </c>
      <c r="G256" s="25" t="s">
        <v>1205</v>
      </c>
      <c r="H256" s="69" t="s">
        <v>362</v>
      </c>
      <c r="I256" s="113">
        <f>VLOOKUP(H256,Dados!$B$2:$C$50,2,0)</f>
        <v>1</v>
      </c>
      <c r="J256" s="111">
        <f>VLOOKUP(H256,Dados!$B$2:$E$50,4,0)</f>
        <v>8</v>
      </c>
    </row>
    <row r="257" spans="1:10" ht="26.4" x14ac:dyDescent="0.25">
      <c r="A257" s="69" t="s">
        <v>10</v>
      </c>
      <c r="B257" s="69" t="s">
        <v>1214</v>
      </c>
      <c r="C257" s="10" t="s">
        <v>1215</v>
      </c>
      <c r="D257" s="71" t="s">
        <v>903</v>
      </c>
      <c r="E257" s="2" t="s">
        <v>906</v>
      </c>
      <c r="F257" s="75" t="s">
        <v>379</v>
      </c>
      <c r="G257" s="25" t="s">
        <v>1216</v>
      </c>
      <c r="H257" s="69" t="s">
        <v>362</v>
      </c>
      <c r="I257" s="113">
        <f>VLOOKUP(H257,Dados!$B$2:$C$50,2,0)</f>
        <v>1</v>
      </c>
      <c r="J257" s="111">
        <f>VLOOKUP(H257,Dados!$B$2:$E$50,4,0)</f>
        <v>8</v>
      </c>
    </row>
    <row r="258" spans="1:10" ht="132" hidden="1" x14ac:dyDescent="0.25">
      <c r="A258" s="69" t="s">
        <v>58</v>
      </c>
      <c r="B258" s="69" t="s">
        <v>354</v>
      </c>
      <c r="C258" s="10" t="s">
        <v>1221</v>
      </c>
      <c r="D258" s="71" t="s">
        <v>1218</v>
      </c>
      <c r="E258" s="2" t="s">
        <v>102</v>
      </c>
      <c r="F258" s="75" t="s">
        <v>379</v>
      </c>
      <c r="G258" s="106" t="s">
        <v>1334</v>
      </c>
      <c r="H258" s="69" t="s">
        <v>387</v>
      </c>
      <c r="I258" s="113" t="e">
        <f>VLOOKUP(H258,Dados!$B$2:$C$50,2,0)</f>
        <v>#N/A</v>
      </c>
      <c r="J258" s="111" t="e">
        <f>VLOOKUP(H258,Dados!$B$2:$E$50,4,0)</f>
        <v>#N/A</v>
      </c>
    </row>
    <row r="259" spans="1:10" ht="22.8" x14ac:dyDescent="0.25">
      <c r="A259" s="69" t="s">
        <v>17</v>
      </c>
      <c r="B259" s="69" t="s">
        <v>1242</v>
      </c>
      <c r="C259" s="10" t="s">
        <v>1221</v>
      </c>
      <c r="D259" s="71" t="s">
        <v>1243</v>
      </c>
      <c r="E259" s="2" t="s">
        <v>86</v>
      </c>
      <c r="F259" s="75" t="s">
        <v>379</v>
      </c>
      <c r="G259" s="25" t="s">
        <v>1244</v>
      </c>
      <c r="H259" s="69" t="s">
        <v>362</v>
      </c>
      <c r="I259" s="113">
        <f>VLOOKUP(H259,Dados!$B$2:$C$50,2,0)</f>
        <v>1</v>
      </c>
      <c r="J259" s="111">
        <f>VLOOKUP(H259,Dados!$B$2:$E$50,4,0)</f>
        <v>8</v>
      </c>
    </row>
    <row r="260" spans="1:10" ht="26.4" x14ac:dyDescent="0.25">
      <c r="A260" s="69" t="s">
        <v>22</v>
      </c>
      <c r="B260" s="69" t="s">
        <v>1249</v>
      </c>
      <c r="C260" s="10" t="s">
        <v>1250</v>
      </c>
      <c r="D260" s="71" t="s">
        <v>1251</v>
      </c>
      <c r="E260" s="2" t="s">
        <v>91</v>
      </c>
      <c r="F260" s="75" t="s">
        <v>401</v>
      </c>
      <c r="G260" s="25" t="s">
        <v>1252</v>
      </c>
      <c r="H260" s="69" t="s">
        <v>386</v>
      </c>
      <c r="I260" s="113">
        <f>VLOOKUP(H260,Dados!$B$2:$C$50,2,0)</f>
        <v>9</v>
      </c>
      <c r="J260" s="111">
        <f>VLOOKUP(H260,Dados!$B$2:$E$50,4,0)</f>
        <v>88</v>
      </c>
    </row>
    <row r="261" spans="1:10" ht="26.4" x14ac:dyDescent="0.25">
      <c r="A261" s="69" t="s">
        <v>22</v>
      </c>
      <c r="B261" s="69" t="s">
        <v>1253</v>
      </c>
      <c r="C261" s="10" t="s">
        <v>1254</v>
      </c>
      <c r="D261" s="71" t="s">
        <v>1255</v>
      </c>
      <c r="E261" s="2" t="s">
        <v>91</v>
      </c>
      <c r="F261" s="75" t="s">
        <v>401</v>
      </c>
      <c r="G261" s="25" t="s">
        <v>1252</v>
      </c>
      <c r="H261" s="69" t="s">
        <v>386</v>
      </c>
      <c r="I261" s="113">
        <f>VLOOKUP(H261,Dados!$B$2:$C$50,2,0)</f>
        <v>9</v>
      </c>
      <c r="J261" s="111">
        <f>VLOOKUP(H261,Dados!$B$2:$E$50,4,0)</f>
        <v>88</v>
      </c>
    </row>
    <row r="262" spans="1:10" ht="26.4" x14ac:dyDescent="0.25">
      <c r="A262" s="69" t="s">
        <v>22</v>
      </c>
      <c r="B262" s="69" t="s">
        <v>1256</v>
      </c>
      <c r="C262" s="10" t="s">
        <v>1257</v>
      </c>
      <c r="D262" s="71" t="s">
        <v>1258</v>
      </c>
      <c r="E262" s="2" t="s">
        <v>222</v>
      </c>
      <c r="F262" s="75" t="s">
        <v>401</v>
      </c>
      <c r="G262" s="25" t="s">
        <v>1252</v>
      </c>
      <c r="H262" s="69" t="s">
        <v>386</v>
      </c>
      <c r="I262" s="113">
        <f>VLOOKUP(H262,Dados!$B$2:$C$50,2,0)</f>
        <v>9</v>
      </c>
      <c r="J262" s="111">
        <f>VLOOKUP(H262,Dados!$B$2:$E$50,4,0)</f>
        <v>88</v>
      </c>
    </row>
    <row r="263" spans="1:10" ht="26.4" x14ac:dyDescent="0.25">
      <c r="A263" s="69" t="s">
        <v>22</v>
      </c>
      <c r="B263" s="69" t="s">
        <v>1259</v>
      </c>
      <c r="C263" s="10" t="s">
        <v>1260</v>
      </c>
      <c r="D263" s="71" t="s">
        <v>1261</v>
      </c>
      <c r="E263" s="2" t="s">
        <v>91</v>
      </c>
      <c r="F263" s="75" t="s">
        <v>401</v>
      </c>
      <c r="G263" s="25" t="s">
        <v>1252</v>
      </c>
      <c r="H263" s="69" t="s">
        <v>386</v>
      </c>
      <c r="I263" s="113">
        <f>VLOOKUP(H263,Dados!$B$2:$C$50,2,0)</f>
        <v>9</v>
      </c>
      <c r="J263" s="111">
        <f>VLOOKUP(H263,Dados!$B$2:$E$50,4,0)</f>
        <v>88</v>
      </c>
    </row>
    <row r="264" spans="1:10" ht="26.4" x14ac:dyDescent="0.25">
      <c r="A264" s="69" t="s">
        <v>22</v>
      </c>
      <c r="B264" s="69" t="s">
        <v>1262</v>
      </c>
      <c r="C264" s="10" t="s">
        <v>1254</v>
      </c>
      <c r="D264" s="71" t="s">
        <v>1263</v>
      </c>
      <c r="E264" s="2" t="s">
        <v>91</v>
      </c>
      <c r="F264" s="75" t="s">
        <v>401</v>
      </c>
      <c r="G264" s="25" t="s">
        <v>1252</v>
      </c>
      <c r="H264" s="69" t="s">
        <v>386</v>
      </c>
      <c r="I264" s="113">
        <f>VLOOKUP(H264,Dados!$B$2:$C$50,2,0)</f>
        <v>9</v>
      </c>
      <c r="J264" s="111">
        <f>VLOOKUP(H264,Dados!$B$2:$E$50,4,0)</f>
        <v>88</v>
      </c>
    </row>
    <row r="265" spans="1:10" ht="26.4" x14ac:dyDescent="0.25">
      <c r="A265" s="69" t="s">
        <v>22</v>
      </c>
      <c r="B265" s="69" t="s">
        <v>1264</v>
      </c>
      <c r="C265" s="10" t="s">
        <v>1254</v>
      </c>
      <c r="D265" s="71" t="s">
        <v>1265</v>
      </c>
      <c r="E265" s="2" t="s">
        <v>91</v>
      </c>
      <c r="F265" s="75" t="s">
        <v>401</v>
      </c>
      <c r="G265" s="25" t="s">
        <v>1252</v>
      </c>
      <c r="H265" s="69" t="s">
        <v>386</v>
      </c>
      <c r="I265" s="113">
        <f>VLOOKUP(H265,Dados!$B$2:$C$50,2,0)</f>
        <v>9</v>
      </c>
      <c r="J265" s="111">
        <f>VLOOKUP(H265,Dados!$B$2:$E$50,4,0)</f>
        <v>88</v>
      </c>
    </row>
    <row r="266" spans="1:10" ht="26.4" x14ac:dyDescent="0.25">
      <c r="A266" s="69" t="s">
        <v>22</v>
      </c>
      <c r="B266" s="69" t="s">
        <v>1266</v>
      </c>
      <c r="C266" s="10" t="s">
        <v>1267</v>
      </c>
      <c r="D266" s="71" t="s">
        <v>1268</v>
      </c>
      <c r="E266" s="2" t="s">
        <v>179</v>
      </c>
      <c r="F266" s="75" t="s">
        <v>401</v>
      </c>
      <c r="G266" s="25" t="s">
        <v>1252</v>
      </c>
      <c r="H266" s="69" t="s">
        <v>386</v>
      </c>
      <c r="I266" s="113">
        <f>VLOOKUP(H266,Dados!$B$2:$C$50,2,0)</f>
        <v>9</v>
      </c>
      <c r="J266" s="111">
        <f>VLOOKUP(H266,Dados!$B$2:$E$50,4,0)</f>
        <v>88</v>
      </c>
    </row>
    <row r="267" spans="1:10" ht="39.6" x14ac:dyDescent="0.25">
      <c r="A267" s="69" t="s">
        <v>10</v>
      </c>
      <c r="B267" s="69" t="s">
        <v>1270</v>
      </c>
      <c r="C267" s="10" t="s">
        <v>1271</v>
      </c>
      <c r="D267" s="71" t="s">
        <v>1298</v>
      </c>
      <c r="E267" s="2" t="s">
        <v>16</v>
      </c>
      <c r="F267" s="75" t="s">
        <v>400</v>
      </c>
      <c r="G267" s="106" t="s">
        <v>1299</v>
      </c>
      <c r="H267" s="69" t="s">
        <v>366</v>
      </c>
      <c r="I267" s="113">
        <f>VLOOKUP(H267,Dados!$B$2:$C$50,2,0)</f>
        <v>7</v>
      </c>
      <c r="J267" s="111">
        <f>VLOOKUP(H267,Dados!$B$2:$E$50,4,0)</f>
        <v>68</v>
      </c>
    </row>
    <row r="268" spans="1:10" ht="105.6" x14ac:dyDescent="0.25">
      <c r="A268" s="69" t="s">
        <v>39</v>
      </c>
      <c r="B268" s="69" t="s">
        <v>1278</v>
      </c>
      <c r="C268" s="10" t="s">
        <v>1279</v>
      </c>
      <c r="D268" s="71" t="s">
        <v>1288</v>
      </c>
      <c r="E268" s="2" t="s">
        <v>16</v>
      </c>
      <c r="F268" s="75" t="s">
        <v>400</v>
      </c>
      <c r="G268" s="106" t="s">
        <v>1307</v>
      </c>
      <c r="H268" s="69" t="s">
        <v>386</v>
      </c>
      <c r="I268" s="113">
        <f>VLOOKUP(H268,Dados!$B$2:$C$50,2,0)</f>
        <v>9</v>
      </c>
      <c r="J268" s="111">
        <f>VLOOKUP(H268,Dados!$B$2:$E$50,4,0)</f>
        <v>88</v>
      </c>
    </row>
    <row r="269" spans="1:10" ht="66" x14ac:dyDescent="0.25">
      <c r="A269" s="69" t="s">
        <v>10</v>
      </c>
      <c r="B269" s="69" t="s">
        <v>1280</v>
      </c>
      <c r="C269" s="10" t="s">
        <v>1281</v>
      </c>
      <c r="D269" s="71" t="s">
        <v>1329</v>
      </c>
      <c r="E269" s="2" t="s">
        <v>16</v>
      </c>
      <c r="F269" s="75" t="s">
        <v>400</v>
      </c>
      <c r="G269" s="106" t="s">
        <v>1330</v>
      </c>
      <c r="H269" s="69" t="s">
        <v>366</v>
      </c>
      <c r="I269" s="113">
        <f>VLOOKUP(H269,Dados!$B$2:$C$50,2,0)</f>
        <v>7</v>
      </c>
      <c r="J269" s="111">
        <f>VLOOKUP(H269,Dados!$B$2:$E$50,4,0)</f>
        <v>68</v>
      </c>
    </row>
    <row r="270" spans="1:10" ht="52.8" x14ac:dyDescent="0.25">
      <c r="A270" s="69" t="s">
        <v>39</v>
      </c>
      <c r="B270" s="69" t="s">
        <v>1285</v>
      </c>
      <c r="C270" s="10" t="s">
        <v>1286</v>
      </c>
      <c r="D270" s="71" t="s">
        <v>632</v>
      </c>
      <c r="E270" s="2" t="s">
        <v>16</v>
      </c>
      <c r="F270" s="75" t="s">
        <v>381</v>
      </c>
      <c r="G270" s="106" t="s">
        <v>1308</v>
      </c>
      <c r="H270" s="69" t="s">
        <v>364</v>
      </c>
      <c r="I270" s="113">
        <f>VLOOKUP(H270,Dados!$B$2:$C$50,2,0)</f>
        <v>5</v>
      </c>
      <c r="J270" s="111">
        <f>VLOOKUP(H270,Dados!$B$2:$E$50,4,0)</f>
        <v>48</v>
      </c>
    </row>
    <row r="271" spans="1:10" ht="26.4" x14ac:dyDescent="0.25">
      <c r="A271" s="69" t="s">
        <v>22</v>
      </c>
      <c r="B271" s="69" t="s">
        <v>1289</v>
      </c>
      <c r="C271" s="10" t="s">
        <v>1297</v>
      </c>
      <c r="D271" s="71" t="s">
        <v>1290</v>
      </c>
      <c r="E271" s="2" t="s">
        <v>91</v>
      </c>
      <c r="F271" s="75" t="s">
        <v>401</v>
      </c>
      <c r="G271" s="25" t="s">
        <v>1291</v>
      </c>
      <c r="H271" s="69" t="s">
        <v>386</v>
      </c>
      <c r="I271" s="113">
        <f>VLOOKUP(H271,Dados!$B$2:$C$50,2,0)</f>
        <v>9</v>
      </c>
      <c r="J271" s="111">
        <f>VLOOKUP(H271,Dados!$B$2:$E$50,4,0)</f>
        <v>88</v>
      </c>
    </row>
    <row r="272" spans="1:10" ht="26.4" x14ac:dyDescent="0.25">
      <c r="A272" s="69" t="s">
        <v>22</v>
      </c>
      <c r="B272" s="69" t="s">
        <v>1064</v>
      </c>
      <c r="C272" s="10" t="s">
        <v>1296</v>
      </c>
      <c r="D272" s="71" t="s">
        <v>1292</v>
      </c>
      <c r="E272" s="2" t="s">
        <v>91</v>
      </c>
      <c r="F272" s="75" t="s">
        <v>401</v>
      </c>
      <c r="G272" s="25" t="s">
        <v>1291</v>
      </c>
      <c r="H272" s="69" t="s">
        <v>386</v>
      </c>
      <c r="I272" s="113">
        <f>VLOOKUP(H272,Dados!$B$2:$C$50,2,0)</f>
        <v>9</v>
      </c>
      <c r="J272" s="111">
        <f>VLOOKUP(H272,Dados!$B$2:$E$50,4,0)</f>
        <v>88</v>
      </c>
    </row>
    <row r="273" spans="1:10" ht="34.200000000000003" x14ac:dyDescent="0.25">
      <c r="A273" s="69" t="s">
        <v>22</v>
      </c>
      <c r="B273" s="69" t="s">
        <v>1293</v>
      </c>
      <c r="C273" s="10" t="s">
        <v>1294</v>
      </c>
      <c r="D273" s="71" t="s">
        <v>1295</v>
      </c>
      <c r="E273" s="2" t="s">
        <v>91</v>
      </c>
      <c r="F273" s="75" t="s">
        <v>401</v>
      </c>
      <c r="G273" s="25" t="s">
        <v>1291</v>
      </c>
      <c r="H273" s="69" t="s">
        <v>386</v>
      </c>
      <c r="I273" s="113">
        <f>VLOOKUP(H273,Dados!$B$2:$C$50,2,0)</f>
        <v>9</v>
      </c>
      <c r="J273" s="111">
        <f>VLOOKUP(H273,Dados!$B$2:$E$50,4,0)</f>
        <v>88</v>
      </c>
    </row>
    <row r="274" spans="1:10" ht="66" x14ac:dyDescent="0.25">
      <c r="A274" s="69" t="s">
        <v>39</v>
      </c>
      <c r="B274" s="69" t="s">
        <v>1301</v>
      </c>
      <c r="C274" s="10" t="s">
        <v>844</v>
      </c>
      <c r="D274" s="71" t="s">
        <v>1302</v>
      </c>
      <c r="E274" s="2" t="s">
        <v>210</v>
      </c>
      <c r="F274" s="75" t="s">
        <v>400</v>
      </c>
      <c r="G274" s="106" t="s">
        <v>1306</v>
      </c>
      <c r="H274" s="69" t="s">
        <v>628</v>
      </c>
      <c r="I274" s="113">
        <f>VLOOKUP(H274,Dados!$B$2:$C$50,2,0)</f>
        <v>4</v>
      </c>
      <c r="J274" s="111">
        <f>VLOOKUP(H274,Dados!$B$2:$E$50,4,0)</f>
        <v>38</v>
      </c>
    </row>
    <row r="275" spans="1:10" ht="26.4" hidden="1" x14ac:dyDescent="0.25">
      <c r="A275" s="69" t="s">
        <v>22</v>
      </c>
      <c r="B275" s="69" t="s">
        <v>1303</v>
      </c>
      <c r="C275" s="10" t="s">
        <v>840</v>
      </c>
      <c r="D275" s="71" t="s">
        <v>1310</v>
      </c>
      <c r="E275" s="2" t="s">
        <v>164</v>
      </c>
      <c r="F275" s="75" t="s">
        <v>401</v>
      </c>
      <c r="G275" s="106" t="s">
        <v>1311</v>
      </c>
      <c r="H275" s="69" t="s">
        <v>370</v>
      </c>
      <c r="I275" s="113">
        <f>VLOOKUP(H275,Dados!$B$2:$C$50,2,0)</f>
        <v>10</v>
      </c>
      <c r="J275" s="111">
        <f>VLOOKUP(H275,Dados!$B$2:$E$50,4,0)</f>
        <v>98</v>
      </c>
    </row>
    <row r="276" spans="1:10" ht="26.4" x14ac:dyDescent="0.25">
      <c r="A276" s="69" t="s">
        <v>22</v>
      </c>
      <c r="B276" s="69" t="s">
        <v>1304</v>
      </c>
      <c r="C276" s="10" t="s">
        <v>340</v>
      </c>
      <c r="D276" s="71" t="s">
        <v>1305</v>
      </c>
      <c r="E276" s="2" t="s">
        <v>127</v>
      </c>
      <c r="F276" s="75" t="s">
        <v>401</v>
      </c>
      <c r="G276" s="25" t="s">
        <v>1291</v>
      </c>
      <c r="H276" s="69" t="s">
        <v>386</v>
      </c>
      <c r="I276" s="113">
        <f>VLOOKUP(H276,Dados!$B$2:$C$50,2,0)</f>
        <v>9</v>
      </c>
      <c r="J276" s="111">
        <f>VLOOKUP(H276,Dados!$B$2:$E$50,4,0)</f>
        <v>88</v>
      </c>
    </row>
    <row r="277" spans="1:10" ht="26.4" x14ac:dyDescent="0.25">
      <c r="A277" s="69" t="s">
        <v>22</v>
      </c>
      <c r="B277" s="69" t="s">
        <v>1312</v>
      </c>
      <c r="C277" s="10" t="s">
        <v>1313</v>
      </c>
      <c r="D277" s="71" t="s">
        <v>1314</v>
      </c>
      <c r="E277" s="2" t="s">
        <v>91</v>
      </c>
      <c r="F277" s="75" t="s">
        <v>401</v>
      </c>
      <c r="G277" s="25" t="s">
        <v>1315</v>
      </c>
      <c r="H277" s="69" t="s">
        <v>386</v>
      </c>
      <c r="I277" s="113">
        <f>VLOOKUP(H277,Dados!$B$2:$C$50,2,0)</f>
        <v>9</v>
      </c>
      <c r="J277" s="111">
        <f>VLOOKUP(H277,Dados!$B$2:$E$50,4,0)</f>
        <v>88</v>
      </c>
    </row>
    <row r="278" spans="1:10" ht="26.4" x14ac:dyDescent="0.25">
      <c r="A278" s="69" t="s">
        <v>22</v>
      </c>
      <c r="B278" s="69" t="s">
        <v>1316</v>
      </c>
      <c r="C278" s="10" t="s">
        <v>1317</v>
      </c>
      <c r="D278" s="71" t="s">
        <v>1318</v>
      </c>
      <c r="E278" s="2" t="s">
        <v>252</v>
      </c>
      <c r="F278" s="75" t="s">
        <v>401</v>
      </c>
      <c r="G278" s="25" t="s">
        <v>1315</v>
      </c>
      <c r="H278" s="69" t="s">
        <v>386</v>
      </c>
      <c r="I278" s="113">
        <f>VLOOKUP(H278,Dados!$B$2:$C$50,2,0)</f>
        <v>9</v>
      </c>
      <c r="J278" s="111">
        <f>VLOOKUP(H278,Dados!$B$2:$E$50,4,0)</f>
        <v>88</v>
      </c>
    </row>
    <row r="279" spans="1:10" ht="39.6" x14ac:dyDescent="0.25">
      <c r="A279" s="69" t="s">
        <v>17</v>
      </c>
      <c r="B279" s="69" t="s">
        <v>1320</v>
      </c>
      <c r="C279" s="10" t="s">
        <v>1321</v>
      </c>
      <c r="D279" s="71" t="s">
        <v>1322</v>
      </c>
      <c r="E279" s="2" t="s">
        <v>67</v>
      </c>
      <c r="F279" s="75" t="s">
        <v>400</v>
      </c>
      <c r="G279" s="106" t="s">
        <v>1331</v>
      </c>
      <c r="H279" s="69" t="s">
        <v>366</v>
      </c>
      <c r="I279" s="113">
        <f>VLOOKUP(H279,Dados!$B$2:$C$50,2,0)</f>
        <v>7</v>
      </c>
      <c r="J279" s="111">
        <f>VLOOKUP(H279,Dados!$B$2:$E$50,4,0)</f>
        <v>68</v>
      </c>
    </row>
    <row r="280" spans="1:10" ht="26.4" x14ac:dyDescent="0.25">
      <c r="A280" s="69" t="s">
        <v>10</v>
      </c>
      <c r="B280" s="69" t="s">
        <v>1324</v>
      </c>
      <c r="C280" s="10" t="s">
        <v>1325</v>
      </c>
      <c r="D280" s="71" t="s">
        <v>1326</v>
      </c>
      <c r="E280" s="2" t="s">
        <v>16</v>
      </c>
      <c r="F280" s="75" t="s">
        <v>400</v>
      </c>
      <c r="G280" s="25" t="s">
        <v>1315</v>
      </c>
      <c r="H280" s="69" t="s">
        <v>362</v>
      </c>
      <c r="I280" s="113">
        <f>VLOOKUP(H280,Dados!$B$2:$C$50,2,0)</f>
        <v>1</v>
      </c>
      <c r="J280" s="111">
        <f>VLOOKUP(H280,Dados!$B$2:$E$50,4,0)</f>
        <v>8</v>
      </c>
    </row>
    <row r="281" spans="1:10" ht="13.2" x14ac:dyDescent="0.25">
      <c r="A281" s="69" t="s">
        <v>17</v>
      </c>
      <c r="B281" s="69" t="s">
        <v>113</v>
      </c>
      <c r="C281" s="10" t="s">
        <v>140</v>
      </c>
      <c r="D281" s="71" t="s">
        <v>477</v>
      </c>
      <c r="E281" s="2" t="s">
        <v>360</v>
      </c>
      <c r="F281" s="75" t="s">
        <v>380</v>
      </c>
      <c r="G281" s="25" t="s">
        <v>1315</v>
      </c>
      <c r="H281" s="69" t="s">
        <v>362</v>
      </c>
      <c r="I281" s="113">
        <f>VLOOKUP(H281,Dados!$B$2:$C$50,2,0)</f>
        <v>1</v>
      </c>
      <c r="J281" s="111">
        <f>VLOOKUP(H281,Dados!$B$2:$E$50,4,0)</f>
        <v>8</v>
      </c>
    </row>
    <row r="282" spans="1:10" ht="26.4" x14ac:dyDescent="0.25">
      <c r="A282" s="69" t="s">
        <v>22</v>
      </c>
      <c r="B282" s="69" t="s">
        <v>1335</v>
      </c>
      <c r="C282" s="10" t="s">
        <v>1297</v>
      </c>
      <c r="D282" s="71" t="s">
        <v>1336</v>
      </c>
      <c r="E282" s="2" t="s">
        <v>91</v>
      </c>
      <c r="F282" s="75" t="s">
        <v>401</v>
      </c>
      <c r="G282" s="25" t="s">
        <v>1337</v>
      </c>
      <c r="H282" s="69" t="s">
        <v>386</v>
      </c>
      <c r="I282" s="113">
        <f>VLOOKUP(H282,Dados!$B$2:$C$50,2,0)</f>
        <v>9</v>
      </c>
      <c r="J282" s="111">
        <f>VLOOKUP(H282,Dados!$B$2:$E$50,4,0)</f>
        <v>88</v>
      </c>
    </row>
    <row r="283" spans="1:10" ht="52.8" x14ac:dyDescent="0.25">
      <c r="A283" s="69" t="s">
        <v>39</v>
      </c>
      <c r="B283" s="69" t="s">
        <v>1339</v>
      </c>
      <c r="C283" s="10" t="s">
        <v>1340</v>
      </c>
      <c r="D283" s="71" t="s">
        <v>1347</v>
      </c>
      <c r="E283" s="2" t="s">
        <v>155</v>
      </c>
      <c r="F283" s="75" t="s">
        <v>400</v>
      </c>
      <c r="G283" s="106" t="s">
        <v>1346</v>
      </c>
      <c r="H283" s="69" t="s">
        <v>366</v>
      </c>
      <c r="I283" s="113">
        <f>VLOOKUP(H283,Dados!$B$2:$C$50,2,0)</f>
        <v>7</v>
      </c>
      <c r="J283" s="111">
        <f>VLOOKUP(H283,Dados!$B$2:$E$50,4,0)</f>
        <v>68</v>
      </c>
    </row>
    <row r="284" spans="1:10" ht="26.4" x14ac:dyDescent="0.25">
      <c r="A284" s="69" t="s">
        <v>22</v>
      </c>
      <c r="B284" s="69" t="s">
        <v>1004</v>
      </c>
      <c r="C284" s="10" t="s">
        <v>1005</v>
      </c>
      <c r="D284" s="71" t="s">
        <v>1341</v>
      </c>
      <c r="E284" s="2" t="s">
        <v>77</v>
      </c>
      <c r="F284" s="75" t="s">
        <v>401</v>
      </c>
      <c r="G284" s="25" t="s">
        <v>1337</v>
      </c>
      <c r="H284" s="69" t="s">
        <v>386</v>
      </c>
      <c r="I284" s="113">
        <f>VLOOKUP(H284,Dados!$B$2:$C$50,2,0)</f>
        <v>9</v>
      </c>
      <c r="J284" s="111">
        <f>VLOOKUP(H284,Dados!$B$2:$E$50,4,0)</f>
        <v>88</v>
      </c>
    </row>
    <row r="285" spans="1:10" ht="39.6" x14ac:dyDescent="0.25">
      <c r="A285" s="69" t="s">
        <v>22</v>
      </c>
      <c r="B285" s="69" t="s">
        <v>1342</v>
      </c>
      <c r="C285" s="10" t="s">
        <v>1343</v>
      </c>
      <c r="D285" s="71" t="s">
        <v>1344</v>
      </c>
      <c r="E285" s="2" t="s">
        <v>91</v>
      </c>
      <c r="F285" s="75" t="s">
        <v>401</v>
      </c>
      <c r="G285" s="25" t="s">
        <v>1337</v>
      </c>
      <c r="H285" s="69" t="s">
        <v>386</v>
      </c>
      <c r="I285" s="113">
        <f>VLOOKUP(H285,Dados!$B$2:$C$50,2,0)</f>
        <v>9</v>
      </c>
      <c r="J285" s="111">
        <f>VLOOKUP(H285,Dados!$B$2:$E$50,4,0)</f>
        <v>88</v>
      </c>
    </row>
  </sheetData>
  <autoFilter ref="A4:K285" xr:uid="{491F8245-8041-478C-AAB8-416EEB0C3BBF}">
    <filterColumn colId="8">
      <customFilters>
        <customFilter operator="lessThan" val="10"/>
      </customFilters>
    </filterColumn>
  </autoFilter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9" r:id="rId4" name="TextBox8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22860</xdr:colOff>
                <xdr:row>3</xdr:row>
                <xdr:rowOff>0</xdr:rowOff>
              </to>
            </anchor>
          </controlPr>
        </control>
      </mc:Choice>
      <mc:Fallback>
        <control shapeId="8219" r:id="rId4" name="TextBox8"/>
      </mc:Fallback>
    </mc:AlternateContent>
    <mc:AlternateContent xmlns:mc="http://schemas.openxmlformats.org/markup-compatibility/2006">
      <mc:Choice Requires="x14">
        <control shapeId="8218" r:id="rId6" name="TextBox7">
          <controlPr defaultSize="0" autoLine="0" r:id="rId7">
            <anchor moveWithCells="1">
              <from>
                <xdr:col>6</xdr:col>
                <xdr:colOff>7620</xdr:colOff>
                <xdr:row>2</xdr:row>
                <xdr:rowOff>0</xdr:rowOff>
              </from>
              <to>
                <xdr:col>6</xdr:col>
                <xdr:colOff>1836420</xdr:colOff>
                <xdr:row>3</xdr:row>
                <xdr:rowOff>0</xdr:rowOff>
              </to>
            </anchor>
          </controlPr>
        </control>
      </mc:Choice>
      <mc:Fallback>
        <control shapeId="8218" r:id="rId6" name="TextBox7"/>
      </mc:Fallback>
    </mc:AlternateContent>
    <mc:AlternateContent xmlns:mc="http://schemas.openxmlformats.org/markup-compatibility/2006">
      <mc:Choice Requires="x14">
        <control shapeId="8217" r:id="rId8" name="TextBox6">
          <controlPr defaultSize="0" autoLine="0" r:id="rId9">
            <anchor moveWithCells="1">
              <from>
                <xdr:col>4</xdr:col>
                <xdr:colOff>563880</xdr:colOff>
                <xdr:row>2</xdr:row>
                <xdr:rowOff>0</xdr:rowOff>
              </from>
              <to>
                <xdr:col>5</xdr:col>
                <xdr:colOff>769620</xdr:colOff>
                <xdr:row>3</xdr:row>
                <xdr:rowOff>0</xdr:rowOff>
              </to>
            </anchor>
          </controlPr>
        </control>
      </mc:Choice>
      <mc:Fallback>
        <control shapeId="8217" r:id="rId8" name="TextBox6"/>
      </mc:Fallback>
    </mc:AlternateContent>
    <mc:AlternateContent xmlns:mc="http://schemas.openxmlformats.org/markup-compatibility/2006">
      <mc:Choice Requires="x14">
        <control shapeId="8216" r:id="rId10" name="TextBox5">
          <controlPr defaultSize="0" autoLine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556260</xdr:colOff>
                <xdr:row>3</xdr:row>
                <xdr:rowOff>0</xdr:rowOff>
              </to>
            </anchor>
          </controlPr>
        </control>
      </mc:Choice>
      <mc:Fallback>
        <control shapeId="8216" r:id="rId10" name="TextBox5"/>
      </mc:Fallback>
    </mc:AlternateContent>
    <mc:AlternateContent xmlns:mc="http://schemas.openxmlformats.org/markup-compatibility/2006">
      <mc:Choice Requires="x14">
        <control shapeId="8215" r:id="rId12" name="TextBox4">
          <controlPr defaultSize="0" autoLine="0" r:id="rId1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830580</xdr:colOff>
                <xdr:row>3</xdr:row>
                <xdr:rowOff>22860</xdr:rowOff>
              </to>
            </anchor>
          </controlPr>
        </control>
      </mc:Choice>
      <mc:Fallback>
        <control shapeId="8215" r:id="rId12" name="TextBox4"/>
      </mc:Fallback>
    </mc:AlternateContent>
    <mc:AlternateContent xmlns:mc="http://schemas.openxmlformats.org/markup-compatibility/2006">
      <mc:Choice Requires="x14">
        <control shapeId="8214" r:id="rId14" name="TextBox3">
          <controlPr defaultSize="0" autoLine="0" r:id="rId1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1668780</xdr:colOff>
                <xdr:row>3</xdr:row>
                <xdr:rowOff>0</xdr:rowOff>
              </to>
            </anchor>
          </controlPr>
        </control>
      </mc:Choice>
      <mc:Fallback>
        <control shapeId="8214" r:id="rId14" name="TextBox3"/>
      </mc:Fallback>
    </mc:AlternateContent>
    <mc:AlternateContent xmlns:mc="http://schemas.openxmlformats.org/markup-compatibility/2006">
      <mc:Choice Requires="x14">
        <control shapeId="8213" r:id="rId1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16" name="TextBox2"/>
      </mc:Fallback>
    </mc:AlternateContent>
    <mc:AlternateContent xmlns:mc="http://schemas.openxmlformats.org/markup-compatibility/2006">
      <mc:Choice Requires="x14">
        <control shapeId="8212" r:id="rId17" name="TextBox1">
          <controlPr defaultSize="0" autoLine="0" autoPict="0" r:id="rId1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8212" r:id="rId17" name="TextBox1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7620</xdr:colOff>
                <xdr:row>1</xdr:row>
                <xdr:rowOff>914400</xdr:rowOff>
              </from>
              <to>
                <xdr:col>7</xdr:col>
                <xdr:colOff>1440180</xdr:colOff>
                <xdr:row>1</xdr:row>
                <xdr:rowOff>1127760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22860</xdr:colOff>
                <xdr:row>1</xdr:row>
                <xdr:rowOff>716280</xdr:rowOff>
              </from>
              <to>
                <xdr:col>8</xdr:col>
                <xdr:colOff>0</xdr:colOff>
                <xdr:row>1</xdr:row>
                <xdr:rowOff>899160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7620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7620</xdr:colOff>
                <xdr:row>1</xdr:row>
                <xdr:rowOff>251460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Dados!$G$2:$G$6</xm:f>
          </x14:formula1>
          <xm:sqref>A6:A1048576</xm:sqref>
        </x14:dataValidation>
        <x14:dataValidation type="list" allowBlank="1" showInputMessage="1" showErrorMessage="1" xr:uid="{00000000-0002-0000-0000-000001000000}">
          <x14:formula1>
            <xm:f>Dados!$H$2:$H$8</xm:f>
          </x14:formula1>
          <xm:sqref>F6:F1048576</xm:sqref>
        </x14:dataValidation>
        <x14:dataValidation type="list" allowBlank="1" showInputMessage="1" showErrorMessage="1" xr:uid="{00000000-0002-0000-0000-000002000000}">
          <x14:formula1>
            <xm:f>Dados!$B$2:$B$11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I12"/>
  <sheetViews>
    <sheetView workbookViewId="0">
      <selection activeCell="E11" sqref="E11"/>
    </sheetView>
  </sheetViews>
  <sheetFormatPr defaultRowHeight="13.2" x14ac:dyDescent="0.25"/>
  <cols>
    <col min="1" max="1" width="3" bestFit="1" customWidth="1"/>
    <col min="2" max="2" width="28.88671875" bestFit="1" customWidth="1"/>
    <col min="3" max="3" width="3" bestFit="1" customWidth="1"/>
    <col min="4" max="4" width="4.109375" bestFit="1" customWidth="1"/>
    <col min="5" max="6" width="4.109375" customWidth="1"/>
    <col min="7" max="7" width="10.109375" bestFit="1" customWidth="1"/>
    <col min="8" max="8" width="17.5546875" bestFit="1" customWidth="1"/>
    <col min="9" max="9" width="7" bestFit="1" customWidth="1"/>
  </cols>
  <sheetData>
    <row r="1" spans="2:9" ht="26.4" x14ac:dyDescent="0.25">
      <c r="B1" s="26" t="s">
        <v>356</v>
      </c>
      <c r="C1" s="57" t="s">
        <v>361</v>
      </c>
      <c r="D1" s="57" t="s">
        <v>357</v>
      </c>
      <c r="E1" s="57" t="s">
        <v>1348</v>
      </c>
      <c r="F1" s="26"/>
      <c r="G1" s="26" t="s">
        <v>374</v>
      </c>
      <c r="H1" s="52" t="s">
        <v>375</v>
      </c>
      <c r="I1" s="57" t="s">
        <v>489</v>
      </c>
    </row>
    <row r="2" spans="2:9" x14ac:dyDescent="0.25">
      <c r="B2" s="6" t="s">
        <v>362</v>
      </c>
      <c r="C2" s="58">
        <v>1</v>
      </c>
      <c r="D2" s="110">
        <f>COUNTIF(Processos!I:I,Dados!C2)</f>
        <v>11</v>
      </c>
      <c r="E2" s="110">
        <v>8</v>
      </c>
      <c r="F2" s="109"/>
      <c r="G2" s="2" t="s">
        <v>17</v>
      </c>
      <c r="H2" s="2" t="s">
        <v>379</v>
      </c>
      <c r="I2" s="58">
        <f xml:space="preserve"> COUNTIFS(Processos!F:F,H2,Processos!I:I,"&lt;12")</f>
        <v>51</v>
      </c>
    </row>
    <row r="3" spans="2:9" x14ac:dyDescent="0.25">
      <c r="B3" s="56" t="s">
        <v>363</v>
      </c>
      <c r="C3" s="58">
        <v>2</v>
      </c>
      <c r="D3" s="110">
        <f>COUNTIF(Processos!I:I,Dados!C3)</f>
        <v>0</v>
      </c>
      <c r="E3" s="110">
        <v>18</v>
      </c>
      <c r="F3" s="109"/>
      <c r="G3" s="2" t="s">
        <v>39</v>
      </c>
      <c r="H3" s="2" t="s">
        <v>380</v>
      </c>
      <c r="I3" s="58">
        <f xml:space="preserve"> COUNTIFS(Processos!F:F,H3,Processos!I:I,"&lt;12")</f>
        <v>29</v>
      </c>
    </row>
    <row r="4" spans="2:9" x14ac:dyDescent="0.25">
      <c r="B4" s="56" t="s">
        <v>365</v>
      </c>
      <c r="C4" s="58">
        <v>3</v>
      </c>
      <c r="D4" s="110">
        <f>COUNTIF(Processos!I:I,Dados!C4)</f>
        <v>0</v>
      </c>
      <c r="E4" s="110">
        <v>28</v>
      </c>
      <c r="F4" s="109"/>
      <c r="G4" s="2" t="s">
        <v>58</v>
      </c>
      <c r="H4" s="2" t="s">
        <v>381</v>
      </c>
      <c r="I4" s="58">
        <f xml:space="preserve"> COUNTIFS(Processos!F:F,H4,Processos!I:I,"&lt;12")</f>
        <v>26</v>
      </c>
    </row>
    <row r="5" spans="2:9" x14ac:dyDescent="0.25">
      <c r="B5" s="6" t="s">
        <v>628</v>
      </c>
      <c r="C5" s="58">
        <v>4</v>
      </c>
      <c r="D5" s="110">
        <f>COUNTIF(Processos!I:I,Dados!C5)</f>
        <v>3</v>
      </c>
      <c r="E5" s="110">
        <v>38</v>
      </c>
      <c r="F5" s="109"/>
      <c r="G5" s="2" t="s">
        <v>10</v>
      </c>
      <c r="H5" s="2" t="s">
        <v>382</v>
      </c>
      <c r="I5" s="58">
        <f xml:space="preserve"> COUNTIFS(Processos!F:F,H5,Processos!I:I,"&lt;12")</f>
        <v>0</v>
      </c>
    </row>
    <row r="6" spans="2:9" x14ac:dyDescent="0.25">
      <c r="B6" s="6" t="s">
        <v>364</v>
      </c>
      <c r="C6" s="58">
        <v>5</v>
      </c>
      <c r="D6" s="110">
        <f>COUNTIF(Processos!I:I,Dados!C6)</f>
        <v>2</v>
      </c>
      <c r="E6" s="110">
        <v>48</v>
      </c>
      <c r="F6" s="109"/>
      <c r="G6" s="4" t="s">
        <v>22</v>
      </c>
      <c r="H6" s="4" t="s">
        <v>400</v>
      </c>
      <c r="I6" s="58">
        <f xml:space="preserve"> COUNTIFS(Processos!F:F,H6,Processos!I:I,"&lt;12")</f>
        <v>58</v>
      </c>
    </row>
    <row r="7" spans="2:9" x14ac:dyDescent="0.25">
      <c r="B7" s="6" t="s">
        <v>367</v>
      </c>
      <c r="C7" s="58">
        <v>6</v>
      </c>
      <c r="D7" s="110">
        <f>COUNTIF(Processos!I:I,Dados!C7)</f>
        <v>0</v>
      </c>
      <c r="E7" s="110">
        <v>58</v>
      </c>
      <c r="F7" s="108"/>
      <c r="H7" s="4" t="s">
        <v>401</v>
      </c>
      <c r="I7" s="58">
        <f xml:space="preserve"> COUNTIFS(Processos!F:F,H7,Processos!I:I,"&lt;12")</f>
        <v>98</v>
      </c>
    </row>
    <row r="8" spans="2:9" x14ac:dyDescent="0.25">
      <c r="B8" s="6" t="s">
        <v>366</v>
      </c>
      <c r="C8" s="58">
        <v>7</v>
      </c>
      <c r="D8" s="110">
        <f>COUNTIF(Processos!I:I,Dados!C8)</f>
        <v>11</v>
      </c>
      <c r="E8" s="110">
        <v>68</v>
      </c>
      <c r="F8" s="108"/>
      <c r="H8" s="4" t="s">
        <v>415</v>
      </c>
      <c r="I8" s="58">
        <f xml:space="preserve"> COUNTIFS(Processos!F:F,H8,Processos!I:I,"&lt;12")</f>
        <v>2</v>
      </c>
    </row>
    <row r="9" spans="2:9" x14ac:dyDescent="0.25">
      <c r="B9" s="53" t="s">
        <v>388</v>
      </c>
      <c r="C9" s="58">
        <v>8</v>
      </c>
      <c r="D9" s="110">
        <f>COUNTIF(Processos!I:I,Dados!C9)</f>
        <v>1</v>
      </c>
      <c r="E9" s="110">
        <v>78</v>
      </c>
      <c r="F9" s="108"/>
    </row>
    <row r="10" spans="2:9" x14ac:dyDescent="0.25">
      <c r="B10" s="6" t="s">
        <v>386</v>
      </c>
      <c r="C10" s="58">
        <v>9</v>
      </c>
      <c r="D10" s="110">
        <f>COUNTIF(Processos!I:I,Dados!C10)</f>
        <v>28</v>
      </c>
      <c r="E10" s="110">
        <v>88</v>
      </c>
      <c r="F10" s="108"/>
    </row>
    <row r="11" spans="2:9" x14ac:dyDescent="0.25">
      <c r="B11" s="6" t="s">
        <v>370</v>
      </c>
      <c r="C11" s="58">
        <v>10</v>
      </c>
      <c r="D11" s="110">
        <f>COUNTIF(Processos!I:I,Dados!C11)</f>
        <v>209</v>
      </c>
      <c r="E11" s="120">
        <v>98</v>
      </c>
      <c r="F11" s="108"/>
    </row>
    <row r="12" spans="2:9" x14ac:dyDescent="0.25">
      <c r="B12" s="6" t="s">
        <v>371</v>
      </c>
      <c r="C12" s="58">
        <v>14</v>
      </c>
      <c r="D12" s="110">
        <f>COUNTIF(Processos!I:I,Dados!C12)</f>
        <v>0</v>
      </c>
      <c r="E12" s="110">
        <v>0</v>
      </c>
      <c r="F12" s="108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09375" defaultRowHeight="13.2" x14ac:dyDescent="0.25"/>
  <cols>
    <col min="1" max="1" width="10.109375" style="41" bestFit="1" customWidth="1"/>
    <col min="2" max="2" width="15" style="30" bestFit="1" customWidth="1"/>
    <col min="3" max="4" width="27.5546875" style="30" customWidth="1"/>
    <col min="5" max="5" width="48.88671875" style="30" customWidth="1"/>
    <col min="6" max="6" width="9.109375" style="30"/>
    <col min="7" max="7" width="11.5546875" style="30" bestFit="1" customWidth="1"/>
    <col min="8" max="16384" width="9.109375" style="30"/>
  </cols>
  <sheetData>
    <row r="1" spans="1:5" x14ac:dyDescent="0.25">
      <c r="A1" s="129" t="s">
        <v>5</v>
      </c>
      <c r="B1" s="129"/>
      <c r="C1" s="129"/>
      <c r="D1" s="129"/>
      <c r="E1" s="129"/>
    </row>
    <row r="2" spans="1:5" x14ac:dyDescent="0.25">
      <c r="A2" s="130"/>
      <c r="B2" s="130"/>
      <c r="C2" s="130"/>
      <c r="D2" s="130"/>
      <c r="E2" s="130"/>
    </row>
    <row r="3" spans="1:5" s="34" customFormat="1" ht="11.4" x14ac:dyDescent="0.2">
      <c r="A3" s="48" t="s">
        <v>2</v>
      </c>
      <c r="B3" s="49" t="s">
        <v>62</v>
      </c>
      <c r="C3" s="50" t="s">
        <v>4</v>
      </c>
      <c r="D3" s="50" t="s">
        <v>13</v>
      </c>
      <c r="E3" s="50" t="s">
        <v>359</v>
      </c>
    </row>
    <row r="4" spans="1:5" x14ac:dyDescent="0.25">
      <c r="A4" s="35">
        <v>43124</v>
      </c>
      <c r="B4" s="5" t="s">
        <v>61</v>
      </c>
      <c r="C4" s="5" t="s">
        <v>39</v>
      </c>
      <c r="D4" s="39" t="s">
        <v>63</v>
      </c>
      <c r="E4" s="5" t="s">
        <v>772</v>
      </c>
    </row>
    <row r="5" spans="1:5" x14ac:dyDescent="0.25">
      <c r="A5" s="35">
        <v>43125</v>
      </c>
      <c r="B5" s="5" t="s">
        <v>66</v>
      </c>
      <c r="C5" s="5" t="s">
        <v>10</v>
      </c>
      <c r="D5" s="39" t="s">
        <v>68</v>
      </c>
      <c r="E5" s="39" t="s">
        <v>767</v>
      </c>
    </row>
    <row r="6" spans="1:5" x14ac:dyDescent="0.25">
      <c r="A6" s="35">
        <v>43131</v>
      </c>
      <c r="B6" s="5" t="s">
        <v>71</v>
      </c>
      <c r="C6" s="5" t="s">
        <v>17</v>
      </c>
      <c r="D6" s="39" t="s">
        <v>73</v>
      </c>
      <c r="E6" s="5" t="s">
        <v>771</v>
      </c>
    </row>
    <row r="7" spans="1:5" x14ac:dyDescent="0.25">
      <c r="A7" s="35">
        <v>43136</v>
      </c>
      <c r="B7" s="5" t="s">
        <v>85</v>
      </c>
      <c r="C7" s="5" t="s">
        <v>39</v>
      </c>
      <c r="D7" s="39" t="s">
        <v>87</v>
      </c>
      <c r="E7" s="39" t="s">
        <v>767</v>
      </c>
    </row>
    <row r="8" spans="1:5" x14ac:dyDescent="0.25">
      <c r="A8" s="35">
        <v>43137</v>
      </c>
      <c r="B8" s="5" t="s">
        <v>97</v>
      </c>
      <c r="C8" s="5" t="s">
        <v>58</v>
      </c>
      <c r="D8" s="39" t="s">
        <v>98</v>
      </c>
      <c r="E8" s="92" t="s">
        <v>777</v>
      </c>
    </row>
    <row r="9" spans="1:5" s="38" customFormat="1" x14ac:dyDescent="0.25">
      <c r="A9" s="35">
        <v>43147</v>
      </c>
      <c r="B9" s="5" t="s">
        <v>106</v>
      </c>
      <c r="C9" s="5" t="s">
        <v>10</v>
      </c>
      <c r="D9" s="36" t="s">
        <v>107</v>
      </c>
      <c r="E9" s="36" t="s">
        <v>770</v>
      </c>
    </row>
    <row r="10" spans="1:5" x14ac:dyDescent="0.25">
      <c r="A10" s="35">
        <v>43157</v>
      </c>
      <c r="B10" s="5"/>
      <c r="C10" s="5" t="s">
        <v>17</v>
      </c>
      <c r="D10" s="5"/>
      <c r="E10" s="5"/>
    </row>
    <row r="11" spans="1:5" x14ac:dyDescent="0.25">
      <c r="A11" s="35">
        <v>43158</v>
      </c>
      <c r="B11" s="5" t="s">
        <v>121</v>
      </c>
      <c r="C11" s="5" t="s">
        <v>58</v>
      </c>
      <c r="D11" s="39" t="s">
        <v>123</v>
      </c>
      <c r="E11" s="5" t="s">
        <v>768</v>
      </c>
    </row>
    <row r="12" spans="1:5" x14ac:dyDescent="0.25">
      <c r="A12" s="35">
        <v>43158</v>
      </c>
      <c r="B12" s="5" t="s">
        <v>126</v>
      </c>
      <c r="C12" s="5" t="s">
        <v>39</v>
      </c>
      <c r="D12" s="39" t="s">
        <v>128</v>
      </c>
      <c r="E12" s="5" t="s">
        <v>769</v>
      </c>
    </row>
    <row r="13" spans="1:5" x14ac:dyDescent="0.25">
      <c r="A13" s="35">
        <v>43158</v>
      </c>
      <c r="B13" s="5" t="s">
        <v>131</v>
      </c>
      <c r="C13" s="5" t="s">
        <v>10</v>
      </c>
      <c r="D13" s="39" t="s">
        <v>133</v>
      </c>
      <c r="E13" s="39" t="s">
        <v>116</v>
      </c>
    </row>
    <row r="14" spans="1:5" x14ac:dyDescent="0.25">
      <c r="A14" s="35"/>
      <c r="B14" s="5"/>
      <c r="C14" s="5" t="s">
        <v>17</v>
      </c>
      <c r="D14" s="5"/>
      <c r="E14" s="5"/>
    </row>
    <row r="15" spans="1:5" x14ac:dyDescent="0.25">
      <c r="A15" s="35">
        <v>43161</v>
      </c>
      <c r="B15" s="5" t="s">
        <v>144</v>
      </c>
      <c r="C15" s="5" t="s">
        <v>191</v>
      </c>
      <c r="D15" s="39" t="s">
        <v>145</v>
      </c>
      <c r="E15" s="5" t="s">
        <v>773</v>
      </c>
    </row>
    <row r="16" spans="1:5" x14ac:dyDescent="0.25">
      <c r="A16" s="35">
        <v>43161</v>
      </c>
      <c r="B16" s="5" t="s">
        <v>148</v>
      </c>
      <c r="C16" s="5" t="s">
        <v>39</v>
      </c>
      <c r="D16" s="39" t="s">
        <v>149</v>
      </c>
      <c r="E16" s="39" t="s">
        <v>653</v>
      </c>
    </row>
    <row r="17" spans="1:10" x14ac:dyDescent="0.25">
      <c r="A17" s="35">
        <v>43161</v>
      </c>
      <c r="B17" s="5" t="s">
        <v>151</v>
      </c>
      <c r="C17" s="5" t="s">
        <v>10</v>
      </c>
      <c r="D17" s="5" t="s">
        <v>774</v>
      </c>
      <c r="E17" s="5" t="s">
        <v>775</v>
      </c>
    </row>
    <row r="18" spans="1:10" x14ac:dyDescent="0.25">
      <c r="A18" s="35"/>
      <c r="B18" s="5"/>
      <c r="C18" s="5" t="s">
        <v>17</v>
      </c>
      <c r="D18" s="5"/>
      <c r="E18" s="5"/>
    </row>
    <row r="19" spans="1:10" x14ac:dyDescent="0.25">
      <c r="A19" s="35">
        <v>43164</v>
      </c>
      <c r="B19" s="5" t="s">
        <v>158</v>
      </c>
      <c r="C19" s="5" t="s">
        <v>58</v>
      </c>
      <c r="D19" s="39" t="s">
        <v>159</v>
      </c>
      <c r="E19" s="91" t="s">
        <v>778</v>
      </c>
    </row>
    <row r="20" spans="1:10" x14ac:dyDescent="0.25">
      <c r="A20" s="35"/>
      <c r="B20" s="5"/>
      <c r="C20" s="5" t="s">
        <v>39</v>
      </c>
      <c r="D20" s="5"/>
      <c r="E20" s="5"/>
    </row>
    <row r="21" spans="1:10" x14ac:dyDescent="0.25">
      <c r="A21" s="35">
        <v>43164</v>
      </c>
      <c r="B21" s="5" t="s">
        <v>163</v>
      </c>
      <c r="C21" s="5" t="s">
        <v>10</v>
      </c>
      <c r="D21" s="39" t="s">
        <v>165</v>
      </c>
      <c r="E21" s="5" t="s">
        <v>776</v>
      </c>
    </row>
    <row r="22" spans="1:10" x14ac:dyDescent="0.25">
      <c r="A22" s="35">
        <v>43165</v>
      </c>
      <c r="B22" s="5" t="s">
        <v>175</v>
      </c>
      <c r="C22" s="5" t="s">
        <v>58</v>
      </c>
      <c r="D22" s="39" t="s">
        <v>176</v>
      </c>
      <c r="E22" s="91" t="s">
        <v>783</v>
      </c>
    </row>
    <row r="23" spans="1:10" x14ac:dyDescent="0.25">
      <c r="A23" s="35">
        <v>43166</v>
      </c>
      <c r="B23" s="5" t="s">
        <v>182</v>
      </c>
      <c r="C23" s="5" t="s">
        <v>39</v>
      </c>
      <c r="D23" s="39" t="s">
        <v>183</v>
      </c>
      <c r="E23" s="39" t="s">
        <v>779</v>
      </c>
    </row>
    <row r="24" spans="1:10" x14ac:dyDescent="0.25">
      <c r="A24" s="35">
        <v>43166</v>
      </c>
      <c r="B24" s="5" t="s">
        <v>185</v>
      </c>
      <c r="C24" s="5" t="s">
        <v>10</v>
      </c>
      <c r="D24" s="39" t="s">
        <v>186</v>
      </c>
      <c r="E24" s="51" t="s">
        <v>781</v>
      </c>
      <c r="F24" s="127" t="s">
        <v>780</v>
      </c>
      <c r="G24" s="128"/>
      <c r="H24" s="128"/>
      <c r="I24" s="128"/>
      <c r="J24" s="128"/>
    </row>
    <row r="25" spans="1:10" x14ac:dyDescent="0.25">
      <c r="A25" s="35"/>
      <c r="B25" s="5"/>
      <c r="C25" s="5" t="s">
        <v>58</v>
      </c>
      <c r="D25" s="5"/>
      <c r="E25" s="5"/>
    </row>
    <row r="26" spans="1:10" x14ac:dyDescent="0.25">
      <c r="A26" s="35">
        <v>43171</v>
      </c>
      <c r="B26" s="5" t="s">
        <v>190</v>
      </c>
      <c r="C26" s="5" t="s">
        <v>39</v>
      </c>
      <c r="D26" s="39" t="s">
        <v>206</v>
      </c>
      <c r="E26" s="5" t="s">
        <v>782</v>
      </c>
    </row>
    <row r="27" spans="1:10" x14ac:dyDescent="0.25">
      <c r="A27" s="35">
        <v>43172</v>
      </c>
      <c r="B27" s="5" t="s">
        <v>209</v>
      </c>
      <c r="C27" s="5" t="s">
        <v>192</v>
      </c>
      <c r="D27" s="39" t="s">
        <v>211</v>
      </c>
      <c r="E27" s="39" t="s">
        <v>790</v>
      </c>
    </row>
    <row r="28" spans="1:10" x14ac:dyDescent="0.25">
      <c r="A28" s="35">
        <v>43174</v>
      </c>
      <c r="B28" s="5" t="s">
        <v>221</v>
      </c>
      <c r="C28" s="5" t="s">
        <v>58</v>
      </c>
      <c r="D28" s="39" t="s">
        <v>223</v>
      </c>
      <c r="E28" s="92" t="s">
        <v>783</v>
      </c>
    </row>
    <row r="29" spans="1:10" x14ac:dyDescent="0.25">
      <c r="A29" s="35">
        <v>43178</v>
      </c>
      <c r="B29" s="5" t="s">
        <v>226</v>
      </c>
      <c r="C29" s="5" t="s">
        <v>39</v>
      </c>
      <c r="D29" s="39" t="s">
        <v>227</v>
      </c>
      <c r="E29" s="39" t="s">
        <v>784</v>
      </c>
    </row>
    <row r="30" spans="1:10" x14ac:dyDescent="0.25">
      <c r="A30" s="35">
        <v>43178</v>
      </c>
      <c r="B30" s="5" t="s">
        <v>232</v>
      </c>
      <c r="C30" s="5" t="s">
        <v>39</v>
      </c>
      <c r="D30" s="51" t="s">
        <v>186</v>
      </c>
      <c r="E30" s="51" t="s">
        <v>233</v>
      </c>
      <c r="F30" s="44"/>
      <c r="G30" s="44"/>
      <c r="H30" s="44"/>
      <c r="I30" s="44"/>
    </row>
    <row r="31" spans="1:10" x14ac:dyDescent="0.25">
      <c r="A31" s="35">
        <v>43179</v>
      </c>
      <c r="B31" s="5" t="s">
        <v>144</v>
      </c>
      <c r="C31" s="5" t="s">
        <v>10</v>
      </c>
      <c r="D31" s="39" t="s">
        <v>235</v>
      </c>
      <c r="E31" s="39" t="s">
        <v>785</v>
      </c>
    </row>
    <row r="32" spans="1:10" x14ac:dyDescent="0.25">
      <c r="A32" s="35">
        <v>43193</v>
      </c>
      <c r="B32" s="5" t="s">
        <v>259</v>
      </c>
      <c r="C32" s="5" t="s">
        <v>58</v>
      </c>
      <c r="D32" s="39" t="s">
        <v>260</v>
      </c>
      <c r="E32" s="92" t="s">
        <v>783</v>
      </c>
    </row>
    <row r="33" spans="1:10" x14ac:dyDescent="0.25">
      <c r="A33" s="35">
        <v>43194</v>
      </c>
      <c r="B33" s="5" t="s">
        <v>262</v>
      </c>
      <c r="C33" s="5" t="s">
        <v>10</v>
      </c>
      <c r="D33" s="39" t="s">
        <v>264</v>
      </c>
      <c r="E33" s="92" t="s">
        <v>783</v>
      </c>
    </row>
    <row r="34" spans="1:10" x14ac:dyDescent="0.25">
      <c r="A34" s="35">
        <v>43228</v>
      </c>
      <c r="B34" s="5" t="s">
        <v>306</v>
      </c>
      <c r="C34" s="5" t="s">
        <v>58</v>
      </c>
      <c r="D34" s="39" t="s">
        <v>347</v>
      </c>
      <c r="E34" s="39" t="s">
        <v>348</v>
      </c>
    </row>
    <row r="35" spans="1:10" x14ac:dyDescent="0.25">
      <c r="A35" s="35">
        <v>43208</v>
      </c>
      <c r="B35" s="5" t="s">
        <v>296</v>
      </c>
      <c r="C35" s="5" t="s">
        <v>39</v>
      </c>
      <c r="D35" s="39" t="s">
        <v>297</v>
      </c>
      <c r="E35" s="39" t="s">
        <v>787</v>
      </c>
      <c r="F35" s="127" t="s">
        <v>786</v>
      </c>
      <c r="G35" s="128"/>
      <c r="H35" s="128"/>
      <c r="I35" s="128"/>
      <c r="J35" s="128"/>
    </row>
    <row r="36" spans="1:10" x14ac:dyDescent="0.25">
      <c r="A36" s="35">
        <v>43210</v>
      </c>
      <c r="B36" s="5" t="s">
        <v>300</v>
      </c>
      <c r="C36" s="5" t="s">
        <v>10</v>
      </c>
      <c r="D36" s="39" t="s">
        <v>302</v>
      </c>
      <c r="E36" s="39" t="s">
        <v>788</v>
      </c>
    </row>
    <row r="37" spans="1:10" x14ac:dyDescent="0.25">
      <c r="A37" s="35">
        <v>43228</v>
      </c>
      <c r="B37" s="5" t="s">
        <v>350</v>
      </c>
      <c r="C37" s="5" t="s">
        <v>17</v>
      </c>
      <c r="D37" s="39" t="s">
        <v>352</v>
      </c>
      <c r="E37" s="39" t="s">
        <v>353</v>
      </c>
    </row>
    <row r="38" spans="1:10" x14ac:dyDescent="0.25">
      <c r="A38" s="35">
        <v>43248</v>
      </c>
      <c r="B38" s="5" t="s">
        <v>522</v>
      </c>
      <c r="C38" s="5" t="s">
        <v>39</v>
      </c>
      <c r="D38" s="5" t="s">
        <v>523</v>
      </c>
      <c r="E38" s="91" t="s">
        <v>783</v>
      </c>
    </row>
    <row r="39" spans="1:10" x14ac:dyDescent="0.25">
      <c r="A39" s="35">
        <v>43249</v>
      </c>
      <c r="B39" s="5" t="s">
        <v>242</v>
      </c>
      <c r="C39" s="5" t="s">
        <v>10</v>
      </c>
      <c r="D39" s="5" t="s">
        <v>533</v>
      </c>
      <c r="E39" s="5" t="s">
        <v>534</v>
      </c>
    </row>
    <row r="40" spans="1:10" x14ac:dyDescent="0.25">
      <c r="A40" s="35">
        <v>43257</v>
      </c>
      <c r="B40" s="5" t="s">
        <v>561</v>
      </c>
      <c r="C40" s="5" t="s">
        <v>58</v>
      </c>
      <c r="D40" s="5" t="s">
        <v>562</v>
      </c>
      <c r="E40" s="5" t="s">
        <v>563</v>
      </c>
    </row>
    <row r="41" spans="1:10" x14ac:dyDescent="0.25">
      <c r="A41" s="35">
        <v>43278</v>
      </c>
      <c r="B41" s="5" t="s">
        <v>474</v>
      </c>
      <c r="C41" s="5" t="s">
        <v>17</v>
      </c>
      <c r="D41" s="5" t="s">
        <v>637</v>
      </c>
      <c r="E41" s="5" t="s">
        <v>638</v>
      </c>
    </row>
    <row r="42" spans="1:10" x14ac:dyDescent="0.25">
      <c r="A42" s="35">
        <v>43283</v>
      </c>
      <c r="B42" s="5" t="s">
        <v>651</v>
      </c>
      <c r="C42" s="5" t="s">
        <v>39</v>
      </c>
      <c r="D42" s="5" t="s">
        <v>652</v>
      </c>
      <c r="E42" s="5" t="s">
        <v>653</v>
      </c>
    </row>
    <row r="43" spans="1:10" x14ac:dyDescent="0.25">
      <c r="A43" s="35">
        <v>43285</v>
      </c>
      <c r="B43" s="5" t="s">
        <v>663</v>
      </c>
      <c r="C43" s="5" t="s">
        <v>10</v>
      </c>
      <c r="D43" s="5" t="s">
        <v>664</v>
      </c>
      <c r="E43" s="91" t="s">
        <v>783</v>
      </c>
    </row>
    <row r="44" spans="1:10" x14ac:dyDescent="0.25">
      <c r="A44" s="35">
        <v>43292</v>
      </c>
      <c r="B44" s="5" t="s">
        <v>692</v>
      </c>
      <c r="C44" s="5" t="s">
        <v>58</v>
      </c>
      <c r="D44" s="5" t="s">
        <v>693</v>
      </c>
      <c r="E44" s="5" t="s">
        <v>694</v>
      </c>
    </row>
    <row r="45" spans="1:10" x14ac:dyDescent="0.25">
      <c r="A45" s="35">
        <v>43292</v>
      </c>
      <c r="B45" s="5" t="s">
        <v>697</v>
      </c>
      <c r="C45" s="5" t="s">
        <v>17</v>
      </c>
      <c r="D45" s="5" t="s">
        <v>698</v>
      </c>
      <c r="E45" s="5" t="s">
        <v>699</v>
      </c>
    </row>
    <row r="46" spans="1:10" x14ac:dyDescent="0.25">
      <c r="A46" s="35">
        <v>43294</v>
      </c>
      <c r="B46" s="5" t="s">
        <v>546</v>
      </c>
      <c r="C46" s="5" t="s">
        <v>39</v>
      </c>
      <c r="D46" s="5" t="s">
        <v>704</v>
      </c>
      <c r="E46" s="5" t="s">
        <v>705</v>
      </c>
    </row>
    <row r="47" spans="1:10" x14ac:dyDescent="0.25">
      <c r="A47" s="35">
        <v>43297</v>
      </c>
      <c r="B47" s="5" t="s">
        <v>355</v>
      </c>
      <c r="C47" s="5" t="s">
        <v>10</v>
      </c>
      <c r="D47" s="5" t="s">
        <v>735</v>
      </c>
      <c r="E47" s="91" t="s">
        <v>783</v>
      </c>
    </row>
    <row r="48" spans="1:10" x14ac:dyDescent="0.25">
      <c r="A48" s="35">
        <v>43300</v>
      </c>
      <c r="B48" s="40" t="s">
        <v>740</v>
      </c>
      <c r="C48" s="5" t="s">
        <v>58</v>
      </c>
      <c r="D48" s="5" t="s">
        <v>741</v>
      </c>
      <c r="E48" s="5" t="s">
        <v>742</v>
      </c>
    </row>
    <row r="49" spans="1:16" ht="12.75" customHeight="1" x14ac:dyDescent="0.25">
      <c r="A49" s="35">
        <v>43307</v>
      </c>
      <c r="B49" s="5" t="s">
        <v>761</v>
      </c>
      <c r="C49" s="5" t="s">
        <v>17</v>
      </c>
      <c r="D49" s="5" t="s">
        <v>762</v>
      </c>
      <c r="E49" s="90" t="s">
        <v>789</v>
      </c>
      <c r="F49" s="131" t="s">
        <v>763</v>
      </c>
      <c r="G49" s="132"/>
      <c r="H49" s="132"/>
      <c r="I49" s="132"/>
      <c r="J49" s="132"/>
    </row>
    <row r="50" spans="1:16" x14ac:dyDescent="0.25">
      <c r="A50" s="35"/>
      <c r="B50" s="5"/>
      <c r="C50" s="5" t="s">
        <v>39</v>
      </c>
      <c r="D50" s="5"/>
      <c r="E50" s="5"/>
      <c r="F50" s="131" t="s">
        <v>764</v>
      </c>
      <c r="G50" s="132"/>
      <c r="H50" s="132"/>
      <c r="I50" s="132"/>
      <c r="J50" s="132"/>
    </row>
    <row r="51" spans="1:16" x14ac:dyDescent="0.25">
      <c r="A51" s="46">
        <v>43315</v>
      </c>
      <c r="B51" s="47" t="s">
        <v>327</v>
      </c>
      <c r="C51" s="47" t="s">
        <v>10</v>
      </c>
      <c r="D51" s="47" t="s">
        <v>834</v>
      </c>
      <c r="E51" s="5" t="s">
        <v>835</v>
      </c>
      <c r="F51" s="131" t="s">
        <v>765</v>
      </c>
      <c r="G51" s="132"/>
      <c r="H51" s="132"/>
      <c r="I51" s="132"/>
      <c r="J51" s="132"/>
    </row>
    <row r="52" spans="1:16" x14ac:dyDescent="0.25">
      <c r="A52" s="35"/>
      <c r="B52" s="5"/>
      <c r="C52" s="5" t="s">
        <v>58</v>
      </c>
      <c r="D52" s="5"/>
      <c r="E52" s="5"/>
      <c r="F52" s="127" t="s">
        <v>854</v>
      </c>
      <c r="G52" s="128"/>
      <c r="H52" s="128"/>
      <c r="I52" s="128"/>
      <c r="J52" s="128"/>
    </row>
    <row r="53" spans="1:16" x14ac:dyDescent="0.25">
      <c r="A53" s="35">
        <v>43320</v>
      </c>
      <c r="B53" s="5" t="s">
        <v>476</v>
      </c>
      <c r="C53" s="5" t="s">
        <v>17</v>
      </c>
      <c r="D53" s="5" t="s">
        <v>855</v>
      </c>
      <c r="E53" s="5" t="s">
        <v>783</v>
      </c>
    </row>
    <row r="54" spans="1:16" x14ac:dyDescent="0.25">
      <c r="A54" s="35">
        <v>43320</v>
      </c>
      <c r="B54" s="5" t="s">
        <v>327</v>
      </c>
      <c r="C54" s="5" t="s">
        <v>39</v>
      </c>
      <c r="D54" s="5"/>
      <c r="E54" s="5"/>
      <c r="F54" s="127" t="s">
        <v>872</v>
      </c>
      <c r="G54" s="128"/>
      <c r="H54" s="128"/>
      <c r="I54" s="128"/>
      <c r="J54" s="128"/>
      <c r="K54" s="128"/>
      <c r="L54" s="128"/>
      <c r="M54" s="128"/>
      <c r="N54" s="128"/>
      <c r="O54" s="128"/>
      <c r="P54" s="128"/>
    </row>
    <row r="55" spans="1:16" x14ac:dyDescent="0.25">
      <c r="A55" s="35"/>
      <c r="B55" s="36"/>
      <c r="C55" s="5" t="s">
        <v>10</v>
      </c>
      <c r="D55" s="5"/>
      <c r="E55" s="5"/>
    </row>
    <row r="56" spans="1:16" x14ac:dyDescent="0.25">
      <c r="A56" s="35"/>
      <c r="B56" s="5"/>
      <c r="C56" s="5" t="s">
        <v>58</v>
      </c>
      <c r="D56" s="5"/>
      <c r="E56" s="5"/>
    </row>
    <row r="57" spans="1:16" x14ac:dyDescent="0.25">
      <c r="A57" s="35">
        <v>43328</v>
      </c>
      <c r="B57" s="5" t="s">
        <v>895</v>
      </c>
      <c r="C57" s="5" t="s">
        <v>17</v>
      </c>
      <c r="D57" s="5" t="s">
        <v>896</v>
      </c>
      <c r="E57" s="91" t="s">
        <v>783</v>
      </c>
    </row>
    <row r="58" spans="1:16" x14ac:dyDescent="0.25">
      <c r="A58" s="35">
        <v>43332</v>
      </c>
      <c r="B58" s="5" t="s">
        <v>907</v>
      </c>
      <c r="C58" s="5" t="s">
        <v>39</v>
      </c>
      <c r="D58" s="5" t="s">
        <v>908</v>
      </c>
      <c r="E58" s="91" t="s">
        <v>783</v>
      </c>
    </row>
    <row r="59" spans="1:16" x14ac:dyDescent="0.25">
      <c r="A59" s="35">
        <v>43333</v>
      </c>
      <c r="B59" s="5" t="s">
        <v>76</v>
      </c>
      <c r="C59" s="5" t="s">
        <v>17</v>
      </c>
      <c r="D59" s="5" t="s">
        <v>914</v>
      </c>
      <c r="E59" s="5" t="s">
        <v>915</v>
      </c>
    </row>
    <row r="60" spans="1:16" x14ac:dyDescent="0.25">
      <c r="A60" s="35">
        <v>43342</v>
      </c>
      <c r="B60" s="5" t="s">
        <v>559</v>
      </c>
      <c r="C60" s="5" t="s">
        <v>39</v>
      </c>
      <c r="D60" s="5" t="s">
        <v>965</v>
      </c>
      <c r="E60" s="5" t="s">
        <v>966</v>
      </c>
    </row>
    <row r="61" spans="1:16" x14ac:dyDescent="0.25">
      <c r="A61" s="35">
        <v>43354</v>
      </c>
      <c r="B61" s="5" t="s">
        <v>346</v>
      </c>
      <c r="C61" s="5" t="s">
        <v>17</v>
      </c>
      <c r="D61" s="5" t="s">
        <v>1015</v>
      </c>
      <c r="E61" s="91" t="s">
        <v>783</v>
      </c>
    </row>
    <row r="62" spans="1:16" x14ac:dyDescent="0.25">
      <c r="A62" s="35">
        <v>43360</v>
      </c>
      <c r="B62" s="5" t="s">
        <v>1038</v>
      </c>
      <c r="C62" s="5" t="s">
        <v>10</v>
      </c>
      <c r="D62" s="5" t="s">
        <v>1039</v>
      </c>
      <c r="E62" s="5" t="s">
        <v>1040</v>
      </c>
      <c r="G62" s="99"/>
      <c r="H62" s="100"/>
    </row>
    <row r="63" spans="1:16" x14ac:dyDescent="0.25">
      <c r="A63" s="35">
        <v>43364</v>
      </c>
      <c r="B63" s="5" t="s">
        <v>1095</v>
      </c>
      <c r="C63" s="5" t="s">
        <v>39</v>
      </c>
      <c r="D63" s="5" t="s">
        <v>1094</v>
      </c>
      <c r="E63" s="5" t="s">
        <v>1093</v>
      </c>
      <c r="H63" s="100"/>
    </row>
    <row r="64" spans="1:16" x14ac:dyDescent="0.25">
      <c r="A64" s="35">
        <v>43377</v>
      </c>
      <c r="B64" s="5" t="s">
        <v>803</v>
      </c>
      <c r="C64" s="5" t="s">
        <v>58</v>
      </c>
      <c r="D64" s="5" t="s">
        <v>1202</v>
      </c>
      <c r="E64" s="5" t="s">
        <v>1203</v>
      </c>
    </row>
    <row r="65" spans="1:7" x14ac:dyDescent="0.25">
      <c r="A65" s="35"/>
      <c r="B65" s="5" t="s">
        <v>1211</v>
      </c>
      <c r="C65" s="5" t="s">
        <v>39</v>
      </c>
      <c r="D65" s="5"/>
      <c r="E65" s="5"/>
    </row>
    <row r="66" spans="1:7" x14ac:dyDescent="0.25">
      <c r="A66" s="35">
        <v>43378</v>
      </c>
      <c r="B66" s="5" t="s">
        <v>903</v>
      </c>
      <c r="C66" s="5" t="s">
        <v>10</v>
      </c>
      <c r="D66" s="5" t="s">
        <v>1212</v>
      </c>
      <c r="E66" s="5" t="s">
        <v>1213</v>
      </c>
    </row>
    <row r="67" spans="1:7" x14ac:dyDescent="0.25">
      <c r="A67" s="35">
        <v>43378</v>
      </c>
      <c r="B67" s="5" t="s">
        <v>1218</v>
      </c>
      <c r="C67" s="5" t="s">
        <v>58</v>
      </c>
      <c r="D67" s="5" t="s">
        <v>1219</v>
      </c>
      <c r="E67" s="5" t="s">
        <v>1220</v>
      </c>
    </row>
    <row r="68" spans="1:7" x14ac:dyDescent="0.25">
      <c r="A68" s="35">
        <v>43383</v>
      </c>
      <c r="B68" s="5" t="s">
        <v>1239</v>
      </c>
      <c r="C68" s="5" t="s">
        <v>17</v>
      </c>
      <c r="D68" s="5" t="s">
        <v>1240</v>
      </c>
      <c r="E68" s="5" t="s">
        <v>1241</v>
      </c>
      <c r="G68" s="99"/>
    </row>
    <row r="69" spans="1:7" x14ac:dyDescent="0.25">
      <c r="A69" s="35"/>
      <c r="B69" s="5"/>
      <c r="C69" s="5" t="s">
        <v>39</v>
      </c>
      <c r="D69" s="5"/>
      <c r="E69" s="5"/>
      <c r="G69" s="99"/>
    </row>
    <row r="70" spans="1:7" x14ac:dyDescent="0.25">
      <c r="A70" s="35"/>
      <c r="B70" s="5"/>
      <c r="C70" s="5" t="s">
        <v>10</v>
      </c>
      <c r="D70" s="5"/>
      <c r="E70" s="5"/>
    </row>
    <row r="71" spans="1:7" x14ac:dyDescent="0.25">
      <c r="A71" s="35"/>
      <c r="B71" s="5"/>
      <c r="C71" s="5" t="s">
        <v>58</v>
      </c>
      <c r="D71" s="5"/>
      <c r="E71" s="5"/>
    </row>
    <row r="72" spans="1:7" x14ac:dyDescent="0.25">
      <c r="A72" s="35"/>
      <c r="B72" s="5"/>
      <c r="C72" s="5" t="s">
        <v>17</v>
      </c>
      <c r="D72" s="5"/>
      <c r="E72" s="5"/>
    </row>
    <row r="73" spans="1:7" x14ac:dyDescent="0.25">
      <c r="A73" s="35"/>
      <c r="B73" s="5"/>
      <c r="C73" s="5"/>
      <c r="D73" s="5"/>
      <c r="E73" s="5"/>
    </row>
    <row r="74" spans="1:7" x14ac:dyDescent="0.25">
      <c r="A74" s="35"/>
      <c r="B74" s="5"/>
      <c r="C74" s="5"/>
      <c r="D74" s="5"/>
      <c r="E74" s="5"/>
    </row>
    <row r="75" spans="1:7" x14ac:dyDescent="0.25">
      <c r="B75" s="39"/>
      <c r="C75" s="43"/>
      <c r="D75" s="43"/>
      <c r="E75" s="5"/>
    </row>
    <row r="76" spans="1:7" x14ac:dyDescent="0.25">
      <c r="A76" s="35"/>
      <c r="B76" s="5"/>
      <c r="C76" s="5"/>
      <c r="D76" s="5"/>
      <c r="E76" s="5"/>
    </row>
    <row r="77" spans="1:7" x14ac:dyDescent="0.25">
      <c r="A77" s="35"/>
      <c r="B77" s="5"/>
      <c r="C77" s="5"/>
      <c r="D77" s="5"/>
      <c r="E77" s="5"/>
    </row>
    <row r="78" spans="1:7" x14ac:dyDescent="0.25">
      <c r="A78" s="35"/>
      <c r="B78" s="5"/>
      <c r="C78" s="5"/>
      <c r="D78" s="5"/>
      <c r="E78" s="5"/>
    </row>
    <row r="79" spans="1:7" x14ac:dyDescent="0.25">
      <c r="A79" s="35"/>
      <c r="B79" s="5"/>
      <c r="C79" s="5"/>
      <c r="D79" s="5"/>
      <c r="E79" s="5"/>
    </row>
    <row r="80" spans="1:7" x14ac:dyDescent="0.25">
      <c r="A80" s="35"/>
      <c r="B80" s="5"/>
      <c r="C80" s="5"/>
      <c r="D80" s="5"/>
      <c r="E80" s="5"/>
    </row>
    <row r="81" spans="1:5" x14ac:dyDescent="0.25">
      <c r="A81" s="35"/>
      <c r="B81" s="5"/>
      <c r="C81" s="5"/>
      <c r="D81" s="5"/>
      <c r="E81" s="5"/>
    </row>
    <row r="82" spans="1:5" x14ac:dyDescent="0.25">
      <c r="A82" s="35"/>
      <c r="B82" s="5"/>
      <c r="C82" s="5"/>
      <c r="D82" s="5"/>
      <c r="E82" s="5"/>
    </row>
    <row r="83" spans="1:5" x14ac:dyDescent="0.25">
      <c r="A83" s="35"/>
      <c r="B83" s="5"/>
      <c r="C83" s="5"/>
      <c r="D83" s="5"/>
      <c r="E83" s="5"/>
    </row>
    <row r="84" spans="1:5" x14ac:dyDescent="0.25">
      <c r="A84" s="35"/>
      <c r="B84" s="5"/>
      <c r="C84" s="5"/>
      <c r="D84" s="5"/>
      <c r="E84" s="5"/>
    </row>
    <row r="85" spans="1:5" x14ac:dyDescent="0.25">
      <c r="A85" s="35"/>
      <c r="B85" s="5"/>
      <c r="C85" s="5"/>
      <c r="D85" s="5"/>
      <c r="E85" s="5"/>
    </row>
    <row r="86" spans="1:5" x14ac:dyDescent="0.25">
      <c r="A86" s="35"/>
      <c r="B86" s="5"/>
      <c r="C86" s="5"/>
      <c r="D86" s="5"/>
      <c r="E86" s="5"/>
    </row>
    <row r="87" spans="1:5" x14ac:dyDescent="0.25">
      <c r="A87" s="35"/>
      <c r="B87" s="5"/>
      <c r="C87" s="5"/>
      <c r="D87" s="5"/>
      <c r="E87" s="5"/>
    </row>
    <row r="88" spans="1:5" x14ac:dyDescent="0.25">
      <c r="A88" s="35"/>
      <c r="B88" s="5"/>
      <c r="C88" s="5"/>
      <c r="D88" s="5"/>
      <c r="E88" s="5"/>
    </row>
    <row r="89" spans="1:5" x14ac:dyDescent="0.25">
      <c r="A89" s="35"/>
      <c r="B89" s="5"/>
      <c r="C89" s="5"/>
      <c r="D89" s="5"/>
      <c r="E89" s="5"/>
    </row>
    <row r="90" spans="1:5" x14ac:dyDescent="0.25">
      <c r="A90" s="35"/>
      <c r="B90" s="5"/>
      <c r="C90" s="5"/>
      <c r="D90" s="5"/>
      <c r="E90" s="5"/>
    </row>
    <row r="91" spans="1:5" x14ac:dyDescent="0.25">
      <c r="A91" s="35"/>
      <c r="B91" s="5"/>
      <c r="C91" s="5"/>
      <c r="D91" s="5"/>
      <c r="E91" s="5"/>
    </row>
    <row r="92" spans="1:5" x14ac:dyDescent="0.25">
      <c r="A92" s="35"/>
      <c r="B92" s="39"/>
      <c r="C92" s="5"/>
      <c r="D92" s="5"/>
      <c r="E92" s="5"/>
    </row>
    <row r="93" spans="1:5" x14ac:dyDescent="0.25">
      <c r="A93" s="35"/>
      <c r="B93" s="5"/>
      <c r="C93" s="5"/>
      <c r="D93" s="5"/>
      <c r="E93" s="5"/>
    </row>
    <row r="94" spans="1:5" x14ac:dyDescent="0.25">
      <c r="A94" s="35"/>
      <c r="B94" s="5"/>
      <c r="C94" s="5"/>
      <c r="D94" s="5"/>
      <c r="E94" s="5"/>
    </row>
    <row r="95" spans="1:5" x14ac:dyDescent="0.25">
      <c r="A95" s="35"/>
      <c r="B95" s="5"/>
      <c r="C95" s="5"/>
      <c r="D95" s="5"/>
      <c r="E95" s="5"/>
    </row>
    <row r="96" spans="1:5" x14ac:dyDescent="0.25">
      <c r="A96" s="35"/>
      <c r="B96" s="5"/>
      <c r="C96" s="5"/>
      <c r="D96" s="5"/>
      <c r="E96" s="5"/>
    </row>
    <row r="97" spans="1:5" x14ac:dyDescent="0.25">
      <c r="A97" s="35"/>
      <c r="B97" s="5"/>
      <c r="C97" s="5"/>
      <c r="D97" s="5"/>
      <c r="E97" s="5"/>
    </row>
    <row r="98" spans="1:5" x14ac:dyDescent="0.25">
      <c r="A98" s="35"/>
      <c r="B98" s="5"/>
      <c r="C98" s="5"/>
      <c r="D98" s="5"/>
      <c r="E98" s="5"/>
    </row>
    <row r="99" spans="1:5" x14ac:dyDescent="0.25">
      <c r="A99" s="35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09375" defaultRowHeight="13.2" x14ac:dyDescent="0.25"/>
  <cols>
    <col min="1" max="1" width="10.109375" style="41" bestFit="1" customWidth="1"/>
    <col min="2" max="2" width="15.33203125" style="30" customWidth="1"/>
    <col min="3" max="3" width="10.33203125" style="30" bestFit="1" customWidth="1"/>
    <col min="4" max="4" width="12.5546875" style="30" bestFit="1" customWidth="1"/>
    <col min="5" max="5" width="14.109375" style="30" customWidth="1"/>
    <col min="6" max="16384" width="9.109375" style="30"/>
  </cols>
  <sheetData>
    <row r="1" spans="1:5" ht="12.75" customHeight="1" x14ac:dyDescent="0.25">
      <c r="A1" s="135" t="s">
        <v>5</v>
      </c>
      <c r="B1" s="135"/>
      <c r="C1" s="135"/>
      <c r="D1" s="135"/>
    </row>
    <row r="2" spans="1:5" ht="28.5" customHeight="1" x14ac:dyDescent="0.25">
      <c r="A2" s="135"/>
      <c r="B2" s="135"/>
      <c r="C2" s="135"/>
      <c r="D2" s="135"/>
    </row>
    <row r="3" spans="1:5" s="34" customFormat="1" ht="11.4" x14ac:dyDescent="0.2">
      <c r="A3" s="45" t="s">
        <v>2</v>
      </c>
      <c r="B3" s="32" t="s">
        <v>1</v>
      </c>
      <c r="C3" s="32" t="s">
        <v>3</v>
      </c>
      <c r="D3" s="33" t="s">
        <v>4</v>
      </c>
      <c r="E3" s="33" t="s">
        <v>13</v>
      </c>
    </row>
    <row r="4" spans="1:5" x14ac:dyDescent="0.25">
      <c r="A4" s="35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5">
      <c r="A5" s="35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5">
      <c r="A6" s="35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5">
      <c r="A7" s="35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5">
      <c r="A8" s="35">
        <v>43150</v>
      </c>
      <c r="B8" s="5" t="s">
        <v>115</v>
      </c>
      <c r="C8" s="5" t="s">
        <v>360</v>
      </c>
      <c r="D8" s="5" t="s">
        <v>39</v>
      </c>
      <c r="E8" s="5"/>
    </row>
    <row r="9" spans="1:5" s="38" customFormat="1" x14ac:dyDescent="0.25">
      <c r="A9" s="35">
        <v>43151</v>
      </c>
      <c r="B9" s="5" t="s">
        <v>117</v>
      </c>
      <c r="C9" s="5" t="s">
        <v>67</v>
      </c>
      <c r="D9" s="5" t="s">
        <v>10</v>
      </c>
      <c r="E9" s="37"/>
    </row>
    <row r="10" spans="1:5" x14ac:dyDescent="0.25">
      <c r="A10" s="35"/>
      <c r="B10" s="5"/>
      <c r="C10" s="5"/>
      <c r="D10" s="5" t="s">
        <v>17</v>
      </c>
      <c r="E10" s="5"/>
    </row>
    <row r="11" spans="1:5" x14ac:dyDescent="0.25">
      <c r="A11" s="35"/>
      <c r="B11" s="5"/>
      <c r="C11" s="5"/>
      <c r="D11" s="5" t="s">
        <v>58</v>
      </c>
      <c r="E11" s="5"/>
    </row>
    <row r="12" spans="1:5" x14ac:dyDescent="0.25">
      <c r="A12" s="35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5">
      <c r="A13" s="35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5">
      <c r="A14" s="35"/>
      <c r="B14" s="5"/>
      <c r="C14" s="5"/>
      <c r="D14" s="5" t="s">
        <v>17</v>
      </c>
      <c r="E14" s="5"/>
    </row>
    <row r="15" spans="1:5" x14ac:dyDescent="0.25">
      <c r="A15" s="35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5">
      <c r="A16" s="35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5">
      <c r="A17" s="35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5">
      <c r="A18" s="35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5">
      <c r="A19" s="35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5">
      <c r="A20" s="95">
        <v>43209</v>
      </c>
      <c r="B20" s="96" t="s">
        <v>163</v>
      </c>
      <c r="C20" s="96" t="s">
        <v>164</v>
      </c>
      <c r="D20" s="96" t="s">
        <v>10</v>
      </c>
      <c r="E20" s="96"/>
    </row>
    <row r="21" spans="1:5" x14ac:dyDescent="0.25">
      <c r="A21" s="35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5">
      <c r="A22" s="35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5">
      <c r="A23" s="35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5">
      <c r="A24" s="35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5">
      <c r="A25" s="35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5">
      <c r="A26" s="35">
        <v>43250</v>
      </c>
      <c r="B26" s="5" t="s">
        <v>546</v>
      </c>
      <c r="C26" s="5" t="s">
        <v>547</v>
      </c>
      <c r="D26" s="5" t="s">
        <v>39</v>
      </c>
      <c r="E26" s="5"/>
    </row>
    <row r="27" spans="1:5" x14ac:dyDescent="0.25">
      <c r="A27" s="35">
        <v>43256</v>
      </c>
      <c r="B27" s="5" t="s">
        <v>470</v>
      </c>
      <c r="C27" s="5" t="s">
        <v>8</v>
      </c>
      <c r="D27" s="5" t="s">
        <v>17</v>
      </c>
      <c r="E27" s="5"/>
    </row>
    <row r="28" spans="1:5" x14ac:dyDescent="0.25">
      <c r="A28" s="35">
        <v>43256</v>
      </c>
      <c r="B28" s="5" t="s">
        <v>559</v>
      </c>
      <c r="C28" s="5" t="s">
        <v>8</v>
      </c>
      <c r="D28" s="5" t="s">
        <v>10</v>
      </c>
      <c r="E28" s="5"/>
    </row>
    <row r="29" spans="1:5" x14ac:dyDescent="0.25">
      <c r="A29" s="35">
        <v>43263</v>
      </c>
      <c r="B29" s="5" t="s">
        <v>585</v>
      </c>
      <c r="C29" s="5" t="s">
        <v>43</v>
      </c>
      <c r="D29" s="5" t="s">
        <v>58</v>
      </c>
      <c r="E29" s="5"/>
    </row>
    <row r="30" spans="1:5" x14ac:dyDescent="0.25">
      <c r="A30" s="35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5">
      <c r="A31" s="35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5">
      <c r="A32" s="95">
        <v>43291</v>
      </c>
      <c r="B32" s="96" t="s">
        <v>474</v>
      </c>
      <c r="C32" s="96" t="s">
        <v>112</v>
      </c>
      <c r="D32" s="96" t="s">
        <v>10</v>
      </c>
      <c r="E32" s="96"/>
    </row>
    <row r="33" spans="1:17" x14ac:dyDescent="0.25">
      <c r="A33" s="95">
        <v>43292</v>
      </c>
      <c r="B33" s="96" t="s">
        <v>522</v>
      </c>
      <c r="C33" s="96" t="s">
        <v>210</v>
      </c>
      <c r="D33" s="96" t="s">
        <v>58</v>
      </c>
      <c r="E33" s="96"/>
    </row>
    <row r="34" spans="1:17" x14ac:dyDescent="0.25">
      <c r="A34" s="35"/>
      <c r="B34" s="5"/>
      <c r="C34" s="5"/>
      <c r="D34" s="5" t="s">
        <v>39</v>
      </c>
      <c r="E34" s="5"/>
      <c r="F34" s="127" t="s">
        <v>751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</row>
    <row r="35" spans="1:17" x14ac:dyDescent="0.25">
      <c r="A35" s="35">
        <v>43304</v>
      </c>
      <c r="B35" s="5" t="s">
        <v>97</v>
      </c>
      <c r="C35" s="5" t="s">
        <v>86</v>
      </c>
      <c r="D35" s="5" t="s">
        <v>17</v>
      </c>
      <c r="E35" s="5"/>
      <c r="F35" s="127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</row>
    <row r="36" spans="1:17" x14ac:dyDescent="0.25">
      <c r="A36" s="35"/>
      <c r="B36" s="5"/>
      <c r="C36" s="5"/>
      <c r="D36" s="5" t="s">
        <v>10</v>
      </c>
      <c r="E36" s="5"/>
      <c r="F36" s="127" t="s">
        <v>856</v>
      </c>
      <c r="G36" s="128"/>
      <c r="H36" s="128"/>
      <c r="I36" s="128"/>
      <c r="J36" s="128"/>
      <c r="K36" s="128"/>
      <c r="L36" s="128"/>
      <c r="M36" s="128"/>
      <c r="N36" s="128"/>
    </row>
    <row r="37" spans="1:17" x14ac:dyDescent="0.25">
      <c r="A37" s="35"/>
      <c r="B37" s="5"/>
      <c r="C37" s="5"/>
      <c r="D37" s="5" t="s">
        <v>58</v>
      </c>
      <c r="E37" s="5"/>
    </row>
    <row r="38" spans="1:17" x14ac:dyDescent="0.25">
      <c r="A38" s="35">
        <v>43320</v>
      </c>
      <c r="B38" s="5" t="s">
        <v>740</v>
      </c>
      <c r="C38" s="5" t="s">
        <v>267</v>
      </c>
      <c r="D38" s="5" t="s">
        <v>39</v>
      </c>
      <c r="E38" s="5"/>
    </row>
    <row r="39" spans="1:17" x14ac:dyDescent="0.25">
      <c r="A39" s="95">
        <v>43320</v>
      </c>
      <c r="B39" s="96" t="s">
        <v>163</v>
      </c>
      <c r="C39" s="96" t="s">
        <v>164</v>
      </c>
      <c r="D39" s="96" t="s">
        <v>17</v>
      </c>
      <c r="E39" s="96"/>
      <c r="F39" s="133" t="s">
        <v>871</v>
      </c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</row>
    <row r="40" spans="1:17" x14ac:dyDescent="0.25">
      <c r="A40" s="35"/>
      <c r="B40" s="5"/>
      <c r="C40" s="5"/>
      <c r="D40" s="5" t="s">
        <v>10</v>
      </c>
      <c r="E40" s="5"/>
    </row>
    <row r="41" spans="1:17" x14ac:dyDescent="0.25">
      <c r="A41" s="35"/>
      <c r="B41" s="5"/>
      <c r="C41" s="5"/>
      <c r="D41" s="5" t="s">
        <v>58</v>
      </c>
      <c r="E41" s="5"/>
    </row>
    <row r="42" spans="1:17" x14ac:dyDescent="0.25">
      <c r="A42" s="95">
        <v>43320</v>
      </c>
      <c r="B42" s="96" t="s">
        <v>474</v>
      </c>
      <c r="C42" s="96" t="s">
        <v>112</v>
      </c>
      <c r="D42" s="96" t="s">
        <v>39</v>
      </c>
      <c r="E42" s="96"/>
      <c r="F42" s="133" t="s">
        <v>872</v>
      </c>
      <c r="G42" s="134"/>
      <c r="H42" s="134"/>
      <c r="I42" s="134"/>
      <c r="J42" s="134"/>
    </row>
    <row r="43" spans="1:17" x14ac:dyDescent="0.25">
      <c r="A43" s="95">
        <v>43321</v>
      </c>
      <c r="B43" s="96" t="s">
        <v>522</v>
      </c>
      <c r="C43" s="96" t="s">
        <v>210</v>
      </c>
      <c r="D43" s="96" t="s">
        <v>17</v>
      </c>
      <c r="E43" s="96"/>
      <c r="F43" s="133" t="s">
        <v>874</v>
      </c>
      <c r="G43" s="134"/>
      <c r="H43" s="134"/>
      <c r="I43" s="134"/>
      <c r="J43" s="134"/>
      <c r="K43" s="134"/>
    </row>
    <row r="44" spans="1:17" x14ac:dyDescent="0.25">
      <c r="A44" s="35">
        <v>43332</v>
      </c>
      <c r="B44" s="5" t="s">
        <v>903</v>
      </c>
      <c r="C44" s="5" t="s">
        <v>478</v>
      </c>
      <c r="D44" s="5" t="s">
        <v>39</v>
      </c>
      <c r="E44" s="5"/>
    </row>
    <row r="45" spans="1:17" x14ac:dyDescent="0.25">
      <c r="A45" s="35">
        <v>43396</v>
      </c>
      <c r="B45" s="5" t="s">
        <v>477</v>
      </c>
      <c r="C45" s="5" t="s">
        <v>478</v>
      </c>
      <c r="D45" s="5" t="s">
        <v>17</v>
      </c>
      <c r="E45" s="5"/>
    </row>
    <row r="46" spans="1:17" x14ac:dyDescent="0.25">
      <c r="A46" s="35"/>
      <c r="B46" s="5"/>
      <c r="C46" s="5"/>
      <c r="D46" s="5" t="s">
        <v>10</v>
      </c>
      <c r="E46" s="5"/>
    </row>
    <row r="47" spans="1:17" x14ac:dyDescent="0.25">
      <c r="A47" s="35"/>
      <c r="B47" s="40"/>
      <c r="C47" s="5"/>
      <c r="D47" s="5" t="s">
        <v>39</v>
      </c>
      <c r="E47" s="5"/>
    </row>
    <row r="48" spans="1:17" x14ac:dyDescent="0.25">
      <c r="A48" s="35"/>
      <c r="B48" s="5"/>
      <c r="C48" s="5"/>
      <c r="D48" s="5" t="s">
        <v>17</v>
      </c>
      <c r="E48" s="5"/>
    </row>
    <row r="49" spans="1:5" x14ac:dyDescent="0.25">
      <c r="A49" s="35"/>
      <c r="B49" s="5"/>
      <c r="C49" s="5"/>
      <c r="D49" s="5" t="s">
        <v>10</v>
      </c>
      <c r="E49" s="5"/>
    </row>
    <row r="50" spans="1:5" x14ac:dyDescent="0.25">
      <c r="A50" s="46"/>
      <c r="B50" s="47"/>
      <c r="C50" s="47"/>
      <c r="D50" s="47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09375" defaultRowHeight="13.2" x14ac:dyDescent="0.25"/>
  <cols>
    <col min="1" max="1" width="10.109375" style="41" bestFit="1" customWidth="1"/>
    <col min="2" max="2" width="12.109375" style="30" bestFit="1" customWidth="1"/>
    <col min="3" max="3" width="8.88671875" style="30" bestFit="1" customWidth="1"/>
    <col min="4" max="4" width="12.5546875" style="30" bestFit="1" customWidth="1"/>
    <col min="5" max="5" width="14.109375" style="30" customWidth="1"/>
    <col min="6" max="16384" width="9.109375" style="30"/>
  </cols>
  <sheetData>
    <row r="1" spans="1:5" ht="12.75" customHeight="1" x14ac:dyDescent="0.25">
      <c r="A1" s="136" t="s">
        <v>5</v>
      </c>
      <c r="B1" s="136"/>
      <c r="C1" s="136"/>
      <c r="D1" s="136"/>
      <c r="E1" s="136"/>
    </row>
    <row r="2" spans="1:5" ht="28.5" customHeight="1" x14ac:dyDescent="0.25">
      <c r="A2" s="137"/>
      <c r="B2" s="137"/>
      <c r="C2" s="137"/>
      <c r="D2" s="137"/>
      <c r="E2" s="137"/>
    </row>
    <row r="3" spans="1:5" s="34" customFormat="1" ht="11.4" x14ac:dyDescent="0.2">
      <c r="A3" s="48" t="s">
        <v>2</v>
      </c>
      <c r="B3" s="49" t="s">
        <v>62</v>
      </c>
      <c r="C3" s="49" t="s">
        <v>3</v>
      </c>
      <c r="D3" s="50" t="s">
        <v>4</v>
      </c>
      <c r="E3" s="50" t="s">
        <v>13</v>
      </c>
    </row>
    <row r="4" spans="1:5" ht="26.4" x14ac:dyDescent="0.25">
      <c r="A4" s="35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5">
      <c r="A5" s="35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5">
      <c r="A6" s="35">
        <v>43147</v>
      </c>
      <c r="B6" s="5"/>
      <c r="C6" s="5" t="s">
        <v>9</v>
      </c>
      <c r="D6" s="5" t="s">
        <v>17</v>
      </c>
      <c r="E6" s="5"/>
    </row>
    <row r="7" spans="1:5" x14ac:dyDescent="0.25">
      <c r="A7" s="35"/>
      <c r="B7" s="5"/>
      <c r="C7" s="5"/>
      <c r="D7" s="5" t="s">
        <v>58</v>
      </c>
      <c r="E7" s="5"/>
    </row>
    <row r="8" spans="1:5" x14ac:dyDescent="0.25">
      <c r="A8" s="35">
        <v>43166</v>
      </c>
      <c r="B8" s="5"/>
      <c r="C8" s="5" t="s">
        <v>188</v>
      </c>
      <c r="D8" s="5" t="s">
        <v>10</v>
      </c>
      <c r="E8" s="5"/>
    </row>
    <row r="9" spans="1:5" s="38" customFormat="1" x14ac:dyDescent="0.25">
      <c r="A9" s="35">
        <v>43192</v>
      </c>
      <c r="B9" s="5" t="s">
        <v>256</v>
      </c>
      <c r="C9" s="5" t="s">
        <v>67</v>
      </c>
      <c r="D9" s="5" t="s">
        <v>39</v>
      </c>
      <c r="E9" s="37"/>
    </row>
    <row r="10" spans="1:5" x14ac:dyDescent="0.25">
      <c r="A10" s="35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5">
      <c r="A11" s="35">
        <v>43213</v>
      </c>
      <c r="B11" s="5"/>
      <c r="C11" s="5" t="s">
        <v>304</v>
      </c>
      <c r="D11" s="5" t="s">
        <v>17</v>
      </c>
      <c r="E11" s="5"/>
    </row>
    <row r="12" spans="1:5" x14ac:dyDescent="0.25">
      <c r="A12" s="35"/>
      <c r="B12" s="5"/>
      <c r="C12" s="5"/>
      <c r="D12" s="5" t="s">
        <v>58</v>
      </c>
      <c r="E12" s="5"/>
    </row>
    <row r="13" spans="1:5" x14ac:dyDescent="0.25">
      <c r="A13" s="35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5">
      <c r="A14" s="35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5">
      <c r="A15" s="35">
        <v>43272</v>
      </c>
      <c r="B15" s="5" t="s">
        <v>624</v>
      </c>
      <c r="C15" s="5" t="s">
        <v>625</v>
      </c>
      <c r="D15" s="5" t="s">
        <v>17</v>
      </c>
      <c r="E15" s="5"/>
    </row>
    <row r="16" spans="1:5" x14ac:dyDescent="0.25">
      <c r="A16" s="35">
        <v>43278</v>
      </c>
      <c r="B16" s="5" t="s">
        <v>630</v>
      </c>
      <c r="C16" s="5" t="s">
        <v>16</v>
      </c>
      <c r="D16" s="5" t="s">
        <v>58</v>
      </c>
      <c r="E16" s="5"/>
    </row>
    <row r="17" spans="1:6" x14ac:dyDescent="0.25">
      <c r="A17" s="35"/>
      <c r="B17" s="5"/>
      <c r="C17" s="5"/>
      <c r="D17" s="5" t="s">
        <v>39</v>
      </c>
      <c r="E17" s="5"/>
    </row>
    <row r="18" spans="1:6" x14ac:dyDescent="0.25">
      <c r="A18" s="35">
        <v>43312</v>
      </c>
      <c r="B18" s="5" t="s">
        <v>803</v>
      </c>
      <c r="C18" s="5" t="s">
        <v>91</v>
      </c>
      <c r="D18" s="5" t="s">
        <v>10</v>
      </c>
      <c r="E18" s="5"/>
    </row>
    <row r="19" spans="1:6" x14ac:dyDescent="0.25">
      <c r="A19" s="35">
        <v>43342</v>
      </c>
      <c r="B19" s="5" t="s">
        <v>964</v>
      </c>
      <c r="C19" s="5" t="s">
        <v>72</v>
      </c>
      <c r="D19" s="5" t="s">
        <v>17</v>
      </c>
      <c r="E19" s="5"/>
    </row>
    <row r="20" spans="1:6" x14ac:dyDescent="0.25">
      <c r="A20" s="35"/>
      <c r="B20" s="5"/>
      <c r="C20" s="5"/>
      <c r="D20" s="5" t="s">
        <v>58</v>
      </c>
      <c r="E20" s="5"/>
    </row>
    <row r="21" spans="1:6" s="101" customFormat="1" x14ac:dyDescent="0.25">
      <c r="A21" s="35">
        <v>43360</v>
      </c>
      <c r="B21" s="5" t="s">
        <v>522</v>
      </c>
      <c r="C21" s="5" t="s">
        <v>210</v>
      </c>
      <c r="D21" s="5" t="s">
        <v>17</v>
      </c>
      <c r="E21" s="5"/>
    </row>
    <row r="22" spans="1:6" x14ac:dyDescent="0.25">
      <c r="A22" s="35">
        <v>43362</v>
      </c>
      <c r="B22" s="5" t="s">
        <v>1079</v>
      </c>
      <c r="C22" s="5" t="s">
        <v>67</v>
      </c>
      <c r="D22" s="5" t="s">
        <v>39</v>
      </c>
      <c r="E22" s="5"/>
    </row>
    <row r="23" spans="1:6" x14ac:dyDescent="0.25">
      <c r="A23" s="35">
        <v>43376</v>
      </c>
      <c r="B23" s="5" t="s">
        <v>907</v>
      </c>
      <c r="C23" s="5" t="s">
        <v>222</v>
      </c>
      <c r="D23" s="5" t="s">
        <v>10</v>
      </c>
      <c r="E23" s="5"/>
    </row>
    <row r="24" spans="1:6" x14ac:dyDescent="0.25">
      <c r="A24" s="35"/>
      <c r="B24" s="5"/>
      <c r="C24" s="5"/>
      <c r="D24" s="5" t="s">
        <v>17</v>
      </c>
      <c r="E24" s="5"/>
      <c r="F24" s="30" t="s">
        <v>1283</v>
      </c>
    </row>
    <row r="25" spans="1:6" x14ac:dyDescent="0.25">
      <c r="A25" s="35"/>
      <c r="B25" s="5"/>
      <c r="C25" s="5"/>
      <c r="D25" s="5" t="s">
        <v>58</v>
      </c>
      <c r="E25" s="5"/>
      <c r="F25" s="30" t="s">
        <v>301</v>
      </c>
    </row>
    <row r="26" spans="1:6" x14ac:dyDescent="0.25">
      <c r="A26" s="35">
        <v>43391</v>
      </c>
      <c r="B26" s="5" t="s">
        <v>1284</v>
      </c>
      <c r="C26" s="5"/>
      <c r="D26" s="5" t="s">
        <v>39</v>
      </c>
      <c r="E26" s="5"/>
    </row>
    <row r="27" spans="1:6" x14ac:dyDescent="0.25">
      <c r="A27" s="35"/>
      <c r="B27" s="5"/>
      <c r="C27" s="5"/>
      <c r="D27" s="5" t="s">
        <v>10</v>
      </c>
      <c r="E27" s="5"/>
    </row>
    <row r="28" spans="1:6" x14ac:dyDescent="0.25">
      <c r="A28" s="35"/>
      <c r="B28" s="5"/>
      <c r="C28" s="5"/>
      <c r="D28" s="5"/>
      <c r="E28" s="5"/>
    </row>
    <row r="29" spans="1:6" x14ac:dyDescent="0.25">
      <c r="A29" s="35"/>
      <c r="B29" s="5"/>
      <c r="C29" s="5"/>
      <c r="D29" s="5"/>
      <c r="E29" s="5"/>
    </row>
    <row r="30" spans="1:6" x14ac:dyDescent="0.25">
      <c r="A30" s="35"/>
      <c r="B30" s="5"/>
      <c r="C30" s="5"/>
      <c r="D30" s="5"/>
      <c r="E30" s="5"/>
    </row>
    <row r="31" spans="1:6" x14ac:dyDescent="0.25">
      <c r="A31" s="35"/>
      <c r="B31" s="5"/>
      <c r="C31" s="5"/>
      <c r="D31" s="5"/>
      <c r="E31" s="5"/>
    </row>
    <row r="32" spans="1:6" x14ac:dyDescent="0.25">
      <c r="A32" s="35"/>
      <c r="B32" s="5"/>
      <c r="C32" s="5"/>
      <c r="D32" s="5"/>
      <c r="E32" s="5"/>
    </row>
    <row r="33" spans="1:5" x14ac:dyDescent="0.25">
      <c r="A33" s="35"/>
      <c r="B33" s="5"/>
      <c r="C33" s="5"/>
      <c r="D33" s="5"/>
      <c r="E33" s="5"/>
    </row>
    <row r="34" spans="1:5" x14ac:dyDescent="0.25">
      <c r="A34" s="35"/>
      <c r="B34" s="5"/>
      <c r="C34" s="5"/>
      <c r="D34" s="5"/>
      <c r="E34" s="5"/>
    </row>
    <row r="35" spans="1:5" x14ac:dyDescent="0.25">
      <c r="A35" s="35"/>
      <c r="B35" s="5"/>
      <c r="C35" s="5"/>
      <c r="D35" s="5"/>
      <c r="E35" s="5"/>
    </row>
    <row r="36" spans="1:5" x14ac:dyDescent="0.25">
      <c r="A36" s="35"/>
      <c r="B36" s="5"/>
      <c r="C36" s="5"/>
      <c r="D36" s="5"/>
      <c r="E36" s="5"/>
    </row>
    <row r="37" spans="1:5" x14ac:dyDescent="0.25">
      <c r="A37" s="35"/>
      <c r="B37" s="5"/>
      <c r="C37" s="5"/>
      <c r="D37" s="5"/>
      <c r="E37" s="5"/>
    </row>
    <row r="38" spans="1:5" x14ac:dyDescent="0.25">
      <c r="A38" s="35"/>
      <c r="B38" s="5"/>
      <c r="C38" s="5"/>
      <c r="D38" s="5"/>
      <c r="E38" s="5"/>
    </row>
    <row r="39" spans="1:5" x14ac:dyDescent="0.25">
      <c r="A39" s="35"/>
      <c r="B39" s="5"/>
      <c r="C39" s="5"/>
      <c r="D39" s="5"/>
      <c r="E39" s="5"/>
    </row>
    <row r="40" spans="1:5" x14ac:dyDescent="0.25">
      <c r="A40" s="35"/>
      <c r="B40" s="5"/>
      <c r="C40" s="5"/>
      <c r="D40" s="5"/>
      <c r="E40" s="5"/>
    </row>
    <row r="41" spans="1:5" x14ac:dyDescent="0.25">
      <c r="A41" s="35"/>
      <c r="B41" s="5"/>
      <c r="C41" s="5"/>
      <c r="D41" s="5"/>
      <c r="E41" s="5"/>
    </row>
    <row r="42" spans="1:5" x14ac:dyDescent="0.25">
      <c r="A42" s="35"/>
      <c r="B42" s="5"/>
      <c r="C42" s="5"/>
      <c r="D42" s="5"/>
      <c r="E42" s="5"/>
    </row>
    <row r="43" spans="1:5" x14ac:dyDescent="0.25">
      <c r="A43" s="35"/>
      <c r="B43" s="5"/>
      <c r="C43" s="5"/>
      <c r="D43" s="5"/>
      <c r="E43" s="5"/>
    </row>
    <row r="44" spans="1:5" x14ac:dyDescent="0.25">
      <c r="A44" s="35"/>
      <c r="B44" s="5"/>
      <c r="C44" s="5"/>
      <c r="D44" s="5"/>
      <c r="E44" s="5"/>
    </row>
    <row r="45" spans="1:5" x14ac:dyDescent="0.25">
      <c r="A45" s="35"/>
      <c r="B45" s="5"/>
      <c r="C45" s="5"/>
      <c r="D45" s="5"/>
      <c r="E45" s="5"/>
    </row>
    <row r="46" spans="1:5" x14ac:dyDescent="0.25">
      <c r="A46" s="35"/>
      <c r="B46" s="5"/>
      <c r="C46" s="5"/>
      <c r="D46" s="5"/>
      <c r="E46" s="5"/>
    </row>
    <row r="47" spans="1:5" x14ac:dyDescent="0.25">
      <c r="A47" s="35"/>
      <c r="B47" s="5"/>
      <c r="C47" s="5"/>
      <c r="D47" s="5"/>
      <c r="E47" s="5"/>
    </row>
    <row r="48" spans="1:5" x14ac:dyDescent="0.25">
      <c r="A48" s="35"/>
      <c r="B48" s="5"/>
      <c r="C48" s="5"/>
      <c r="D48" s="5"/>
      <c r="E48" s="5"/>
    </row>
    <row r="49" spans="1:5" x14ac:dyDescent="0.25">
      <c r="A49" s="35"/>
      <c r="B49" s="40"/>
      <c r="C49" s="5"/>
      <c r="D49" s="5"/>
      <c r="E49" s="5"/>
    </row>
    <row r="50" spans="1:5" x14ac:dyDescent="0.25">
      <c r="A50" s="35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09375" defaultRowHeight="13.2" x14ac:dyDescent="0.25"/>
  <cols>
    <col min="1" max="1" width="10.109375" style="41" bestFit="1" customWidth="1"/>
    <col min="2" max="2" width="14.109375" style="30" bestFit="1" customWidth="1"/>
    <col min="3" max="3" width="14.88671875" style="30" bestFit="1" customWidth="1"/>
    <col min="4" max="4" width="32.109375" style="30" customWidth="1"/>
    <col min="5" max="16384" width="9.109375" style="30"/>
  </cols>
  <sheetData>
    <row r="1" spans="1:4" ht="12.75" customHeight="1" x14ac:dyDescent="0.25">
      <c r="A1" s="136" t="s">
        <v>5</v>
      </c>
      <c r="B1" s="136"/>
      <c r="C1" s="136"/>
      <c r="D1" s="136"/>
    </row>
    <row r="2" spans="1:4" ht="28.5" customHeight="1" x14ac:dyDescent="0.25">
      <c r="A2" s="137"/>
      <c r="B2" s="137"/>
      <c r="C2" s="137"/>
      <c r="D2" s="137"/>
    </row>
    <row r="3" spans="1:4" s="34" customFormat="1" ht="11.4" x14ac:dyDescent="0.2">
      <c r="A3" s="31" t="s">
        <v>2</v>
      </c>
      <c r="B3" s="32" t="s">
        <v>1</v>
      </c>
      <c r="C3" s="33" t="s">
        <v>4</v>
      </c>
      <c r="D3" s="33" t="s">
        <v>13</v>
      </c>
    </row>
    <row r="4" spans="1:4" x14ac:dyDescent="0.25">
      <c r="A4" s="35">
        <v>43105</v>
      </c>
      <c r="B4" s="5" t="s">
        <v>15</v>
      </c>
      <c r="C4" s="5" t="s">
        <v>17</v>
      </c>
      <c r="D4" s="5"/>
    </row>
    <row r="5" spans="1:4" x14ac:dyDescent="0.25">
      <c r="A5" s="35">
        <v>43108</v>
      </c>
      <c r="B5" s="5" t="s">
        <v>21</v>
      </c>
      <c r="C5" s="5" t="s">
        <v>22</v>
      </c>
      <c r="D5" s="5"/>
    </row>
    <row r="6" spans="1:4" x14ac:dyDescent="0.25">
      <c r="A6" s="35">
        <v>43109</v>
      </c>
      <c r="B6" s="5" t="s">
        <v>28</v>
      </c>
      <c r="C6" s="5" t="s">
        <v>17</v>
      </c>
      <c r="D6" s="5"/>
    </row>
    <row r="7" spans="1:4" x14ac:dyDescent="0.25">
      <c r="A7" s="35">
        <v>43109</v>
      </c>
      <c r="B7" s="5" t="s">
        <v>31</v>
      </c>
      <c r="C7" s="5" t="s">
        <v>10</v>
      </c>
      <c r="D7" s="5"/>
    </row>
    <row r="8" spans="1:4" x14ac:dyDescent="0.25">
      <c r="A8" s="35">
        <v>43112</v>
      </c>
      <c r="B8" s="5" t="s">
        <v>25</v>
      </c>
      <c r="C8" s="5" t="s">
        <v>10</v>
      </c>
      <c r="D8" s="5"/>
    </row>
    <row r="9" spans="1:4" s="38" customFormat="1" x14ac:dyDescent="0.25">
      <c r="A9" s="35">
        <v>43115</v>
      </c>
      <c r="B9" s="5" t="s">
        <v>35</v>
      </c>
      <c r="C9" s="5" t="s">
        <v>17</v>
      </c>
      <c r="D9" s="37" t="s">
        <v>12</v>
      </c>
    </row>
    <row r="10" spans="1:4" x14ac:dyDescent="0.25">
      <c r="A10" s="35">
        <v>43116</v>
      </c>
      <c r="B10" s="5" t="s">
        <v>42</v>
      </c>
      <c r="C10" s="5" t="s">
        <v>10</v>
      </c>
      <c r="D10" s="5"/>
    </row>
    <row r="11" spans="1:4" x14ac:dyDescent="0.25">
      <c r="A11" s="35">
        <v>43117</v>
      </c>
      <c r="B11" s="5" t="s">
        <v>52</v>
      </c>
      <c r="C11" s="5" t="s">
        <v>39</v>
      </c>
      <c r="D11" s="5"/>
    </row>
    <row r="12" spans="1:4" x14ac:dyDescent="0.25">
      <c r="A12" s="35">
        <v>43137</v>
      </c>
      <c r="B12" s="5" t="s">
        <v>94</v>
      </c>
      <c r="C12" s="5" t="s">
        <v>10</v>
      </c>
      <c r="D12" s="39" t="s">
        <v>12</v>
      </c>
    </row>
    <row r="13" spans="1:4" x14ac:dyDescent="0.25">
      <c r="A13" s="35">
        <v>43146</v>
      </c>
      <c r="B13" s="5" t="s">
        <v>101</v>
      </c>
      <c r="C13" s="5" t="s">
        <v>39</v>
      </c>
      <c r="D13" s="39" t="s">
        <v>103</v>
      </c>
    </row>
    <row r="14" spans="1:4" x14ac:dyDescent="0.25">
      <c r="A14" s="35">
        <v>43161</v>
      </c>
      <c r="B14" s="5" t="s">
        <v>154</v>
      </c>
      <c r="C14" s="5" t="s">
        <v>58</v>
      </c>
      <c r="D14" s="5"/>
    </row>
    <row r="15" spans="1:4" x14ac:dyDescent="0.25">
      <c r="A15" s="35">
        <v>43109</v>
      </c>
      <c r="B15" s="5" t="s">
        <v>31</v>
      </c>
      <c r="C15" s="5" t="s">
        <v>10</v>
      </c>
      <c r="D15" s="5"/>
    </row>
    <row r="16" spans="1:4" x14ac:dyDescent="0.25">
      <c r="A16" s="35">
        <v>43165</v>
      </c>
      <c r="B16" s="5" t="s">
        <v>178</v>
      </c>
      <c r="C16" s="5" t="s">
        <v>10</v>
      </c>
      <c r="D16" s="5"/>
    </row>
    <row r="17" spans="1:4" x14ac:dyDescent="0.25">
      <c r="A17" s="35">
        <v>43173</v>
      </c>
      <c r="B17" s="5" t="s">
        <v>218</v>
      </c>
      <c r="C17" s="5" t="s">
        <v>39</v>
      </c>
      <c r="D17" s="5"/>
    </row>
    <row r="18" spans="1:4" x14ac:dyDescent="0.25">
      <c r="A18" s="35">
        <v>43185</v>
      </c>
      <c r="B18" s="5" t="s">
        <v>244</v>
      </c>
      <c r="C18" s="5" t="s">
        <v>58</v>
      </c>
      <c r="D18" s="5"/>
    </row>
    <row r="19" spans="1:4" x14ac:dyDescent="0.25">
      <c r="A19" s="35">
        <v>43192</v>
      </c>
      <c r="B19" s="5" t="s">
        <v>52</v>
      </c>
      <c r="C19" s="5" t="s">
        <v>17</v>
      </c>
      <c r="D19" s="5"/>
    </row>
    <row r="20" spans="1:4" x14ac:dyDescent="0.25">
      <c r="A20" s="35">
        <v>43200</v>
      </c>
      <c r="B20" s="5" t="s">
        <v>275</v>
      </c>
      <c r="C20" s="5" t="s">
        <v>10</v>
      </c>
      <c r="D20" s="5"/>
    </row>
    <row r="21" spans="1:4" x14ac:dyDescent="0.25">
      <c r="A21" s="35">
        <v>43244</v>
      </c>
      <c r="B21" s="5" t="s">
        <v>494</v>
      </c>
      <c r="C21" s="5" t="s">
        <v>39</v>
      </c>
      <c r="D21" s="5"/>
    </row>
    <row r="22" spans="1:4" x14ac:dyDescent="0.25">
      <c r="A22" s="35">
        <v>43244</v>
      </c>
      <c r="B22" s="5" t="s">
        <v>506</v>
      </c>
      <c r="C22" s="5" t="s">
        <v>58</v>
      </c>
      <c r="D22" s="5"/>
    </row>
    <row r="23" spans="1:4" x14ac:dyDescent="0.25">
      <c r="A23" s="35">
        <v>43245</v>
      </c>
      <c r="B23" s="5" t="s">
        <v>519</v>
      </c>
      <c r="C23" s="5" t="s">
        <v>39</v>
      </c>
      <c r="D23" s="5"/>
    </row>
    <row r="24" spans="1:4" x14ac:dyDescent="0.25">
      <c r="A24" s="35">
        <v>43248</v>
      </c>
      <c r="B24" s="5" t="s">
        <v>525</v>
      </c>
      <c r="C24" s="5" t="s">
        <v>520</v>
      </c>
      <c r="D24" s="5"/>
    </row>
    <row r="25" spans="1:4" x14ac:dyDescent="0.25">
      <c r="A25" s="35">
        <v>43249</v>
      </c>
      <c r="B25" s="5" t="s">
        <v>535</v>
      </c>
      <c r="C25" s="5" t="s">
        <v>10</v>
      </c>
      <c r="D25" s="5"/>
    </row>
    <row r="26" spans="1:4" x14ac:dyDescent="0.25">
      <c r="A26" s="35">
        <v>43249</v>
      </c>
      <c r="B26" s="5" t="s">
        <v>15</v>
      </c>
      <c r="C26" s="5" t="s">
        <v>58</v>
      </c>
      <c r="D26" s="5"/>
    </row>
    <row r="27" spans="1:4" x14ac:dyDescent="0.25">
      <c r="A27" s="35">
        <v>43255</v>
      </c>
      <c r="B27" s="5" t="s">
        <v>21</v>
      </c>
      <c r="C27" s="5" t="s">
        <v>39</v>
      </c>
      <c r="D27" s="5"/>
    </row>
    <row r="28" spans="1:4" x14ac:dyDescent="0.25">
      <c r="A28" s="35">
        <v>43255</v>
      </c>
      <c r="B28" s="5" t="s">
        <v>556</v>
      </c>
      <c r="C28" s="5" t="s">
        <v>17</v>
      </c>
      <c r="D28" s="5"/>
    </row>
    <row r="29" spans="1:4" x14ac:dyDescent="0.25">
      <c r="A29" s="35">
        <v>43257</v>
      </c>
      <c r="B29" s="5" t="s">
        <v>565</v>
      </c>
      <c r="C29" s="5" t="s">
        <v>10</v>
      </c>
      <c r="D29" s="5" t="s">
        <v>568</v>
      </c>
    </row>
    <row r="30" spans="1:4" x14ac:dyDescent="0.25">
      <c r="A30" s="35">
        <v>43257</v>
      </c>
      <c r="B30" s="5" t="s">
        <v>569</v>
      </c>
      <c r="C30" s="5" t="s">
        <v>58</v>
      </c>
      <c r="D30" s="5"/>
    </row>
    <row r="31" spans="1:4" x14ac:dyDescent="0.25">
      <c r="A31" s="35">
        <v>43258</v>
      </c>
      <c r="B31" s="5" t="s">
        <v>577</v>
      </c>
      <c r="C31" s="5" t="s">
        <v>39</v>
      </c>
      <c r="D31" s="5"/>
    </row>
    <row r="32" spans="1:4" x14ac:dyDescent="0.25">
      <c r="A32" s="35">
        <v>43264</v>
      </c>
      <c r="B32" s="5" t="s">
        <v>586</v>
      </c>
      <c r="C32" s="5" t="s">
        <v>17</v>
      </c>
      <c r="D32" s="5"/>
    </row>
    <row r="33" spans="1:14" x14ac:dyDescent="0.25">
      <c r="A33" s="35">
        <v>43265</v>
      </c>
      <c r="B33" s="5" t="s">
        <v>590</v>
      </c>
      <c r="C33" s="5" t="s">
        <v>10</v>
      </c>
      <c r="D33" s="5"/>
    </row>
    <row r="34" spans="1:14" x14ac:dyDescent="0.25">
      <c r="A34" s="35">
        <v>43266</v>
      </c>
      <c r="B34" s="5" t="s">
        <v>593</v>
      </c>
      <c r="C34" s="5" t="s">
        <v>58</v>
      </c>
      <c r="D34" s="5" t="s">
        <v>603</v>
      </c>
    </row>
    <row r="35" spans="1:14" x14ac:dyDescent="0.25">
      <c r="A35" s="35">
        <v>43278</v>
      </c>
      <c r="B35" s="5" t="s">
        <v>633</v>
      </c>
      <c r="C35" s="5" t="s">
        <v>39</v>
      </c>
      <c r="D35" s="5" t="s">
        <v>634</v>
      </c>
    </row>
    <row r="36" spans="1:14" x14ac:dyDescent="0.25">
      <c r="A36" s="35">
        <v>43286</v>
      </c>
      <c r="B36" s="5" t="s">
        <v>681</v>
      </c>
      <c r="C36" s="5" t="s">
        <v>520</v>
      </c>
      <c r="D36" s="5"/>
    </row>
    <row r="37" spans="1:14" x14ac:dyDescent="0.25">
      <c r="A37" s="35">
        <v>43294</v>
      </c>
      <c r="B37" s="5" t="s">
        <v>720</v>
      </c>
      <c r="C37" s="5" t="s">
        <v>10</v>
      </c>
      <c r="D37" s="5"/>
    </row>
    <row r="38" spans="1:14" x14ac:dyDescent="0.25">
      <c r="A38" s="35">
        <v>43294</v>
      </c>
      <c r="B38" s="5" t="s">
        <v>726</v>
      </c>
      <c r="C38" s="5" t="s">
        <v>58</v>
      </c>
      <c r="D38" s="5"/>
    </row>
    <row r="39" spans="1:14" x14ac:dyDescent="0.25">
      <c r="A39" s="35"/>
      <c r="B39" s="5"/>
      <c r="C39" s="5" t="s">
        <v>39</v>
      </c>
      <c r="D39" s="5"/>
    </row>
    <row r="40" spans="1:14" x14ac:dyDescent="0.25">
      <c r="A40" s="35">
        <v>43305</v>
      </c>
      <c r="B40" s="5" t="s">
        <v>755</v>
      </c>
      <c r="C40" s="5" t="s">
        <v>17</v>
      </c>
      <c r="D40" s="5"/>
    </row>
    <row r="41" spans="1:14" x14ac:dyDescent="0.25">
      <c r="A41" s="35">
        <v>43313</v>
      </c>
      <c r="B41" s="5" t="s">
        <v>820</v>
      </c>
      <c r="C41" s="5" t="s">
        <v>10</v>
      </c>
      <c r="D41" s="5" t="s">
        <v>875</v>
      </c>
    </row>
    <row r="42" spans="1:14" x14ac:dyDescent="0.25">
      <c r="A42" s="95">
        <v>43315</v>
      </c>
      <c r="B42" s="96" t="s">
        <v>837</v>
      </c>
      <c r="C42" s="96" t="s">
        <v>58</v>
      </c>
      <c r="D42" s="96" t="s">
        <v>838</v>
      </c>
    </row>
    <row r="43" spans="1:14" x14ac:dyDescent="0.25">
      <c r="A43" s="35">
        <v>43319</v>
      </c>
      <c r="B43" s="5" t="s">
        <v>841</v>
      </c>
      <c r="C43" s="5" t="s">
        <v>39</v>
      </c>
      <c r="D43" s="5"/>
    </row>
    <row r="44" spans="1:14" x14ac:dyDescent="0.25">
      <c r="A44" s="35">
        <v>43319</v>
      </c>
      <c r="B44" s="5" t="s">
        <v>842</v>
      </c>
      <c r="C44" s="5" t="s">
        <v>17</v>
      </c>
      <c r="D44" s="5"/>
    </row>
    <row r="45" spans="1:14" x14ac:dyDescent="0.25">
      <c r="A45" s="35"/>
      <c r="B45" s="5"/>
      <c r="C45" s="5" t="s">
        <v>10</v>
      </c>
      <c r="D45" s="5"/>
      <c r="E45" s="127" t="s">
        <v>847</v>
      </c>
      <c r="F45" s="128"/>
      <c r="G45" s="128"/>
      <c r="H45" s="128"/>
      <c r="I45" s="128"/>
      <c r="J45" s="128"/>
      <c r="K45" s="128"/>
      <c r="L45" s="128"/>
      <c r="M45" s="128"/>
      <c r="N45" s="128"/>
    </row>
    <row r="46" spans="1:14" x14ac:dyDescent="0.25">
      <c r="A46" s="35"/>
      <c r="B46" s="5"/>
      <c r="C46" s="5" t="s">
        <v>58</v>
      </c>
      <c r="D46" s="5"/>
      <c r="E46" s="127"/>
      <c r="F46" s="128"/>
      <c r="G46" s="128"/>
      <c r="H46" s="128"/>
      <c r="I46" s="128"/>
      <c r="J46" s="128"/>
      <c r="K46" s="128"/>
      <c r="L46" s="128"/>
      <c r="M46" s="128"/>
      <c r="N46" s="128"/>
    </row>
    <row r="47" spans="1:14" ht="26.4" x14ac:dyDescent="0.25">
      <c r="A47" s="35">
        <v>43319</v>
      </c>
      <c r="B47" s="5" t="s">
        <v>848</v>
      </c>
      <c r="C47" s="5" t="s">
        <v>39</v>
      </c>
      <c r="D47" s="5" t="s">
        <v>849</v>
      </c>
      <c r="E47" s="127" t="s">
        <v>850</v>
      </c>
      <c r="F47" s="128"/>
      <c r="G47" s="128"/>
      <c r="H47" s="128"/>
      <c r="I47" s="128"/>
      <c r="J47" s="128"/>
      <c r="K47" s="128"/>
      <c r="L47" s="128"/>
      <c r="M47" s="128"/>
      <c r="N47" s="128"/>
    </row>
    <row r="48" spans="1:14" x14ac:dyDescent="0.25">
      <c r="A48" s="35">
        <v>43319</v>
      </c>
      <c r="B48" s="40" t="s">
        <v>851</v>
      </c>
      <c r="C48" s="5" t="s">
        <v>17</v>
      </c>
      <c r="D48" s="5"/>
    </row>
    <row r="49" spans="1:16" x14ac:dyDescent="0.25">
      <c r="A49" s="35">
        <v>43320</v>
      </c>
      <c r="B49" s="5" t="s">
        <v>15</v>
      </c>
      <c r="C49" s="5" t="s">
        <v>39</v>
      </c>
      <c r="D49" s="5"/>
    </row>
    <row r="50" spans="1:16" x14ac:dyDescent="0.25">
      <c r="A50" s="95">
        <v>43321</v>
      </c>
      <c r="B50" s="96" t="s">
        <v>837</v>
      </c>
      <c r="C50" s="96" t="s">
        <v>17</v>
      </c>
      <c r="D50" s="96"/>
      <c r="E50" s="133" t="s">
        <v>873</v>
      </c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</row>
    <row r="51" spans="1:16" x14ac:dyDescent="0.25">
      <c r="A51" s="35">
        <v>43325</v>
      </c>
      <c r="B51" s="5" t="s">
        <v>25</v>
      </c>
      <c r="C51" s="5" t="s">
        <v>39</v>
      </c>
      <c r="D51" s="5"/>
    </row>
    <row r="52" spans="1:16" x14ac:dyDescent="0.25">
      <c r="A52" s="35">
        <v>43326</v>
      </c>
      <c r="B52" s="5" t="s">
        <v>877</v>
      </c>
      <c r="C52" s="5" t="s">
        <v>17</v>
      </c>
      <c r="D52" s="5"/>
    </row>
    <row r="53" spans="1:16" x14ac:dyDescent="0.25">
      <c r="A53" s="35">
        <v>43328</v>
      </c>
      <c r="B53" s="5" t="s">
        <v>899</v>
      </c>
      <c r="C53" s="5" t="s">
        <v>39</v>
      </c>
      <c r="D53" s="5"/>
    </row>
    <row r="54" spans="1:16" x14ac:dyDescent="0.25">
      <c r="A54" s="35">
        <v>43335</v>
      </c>
      <c r="B54" s="5" t="s">
        <v>935</v>
      </c>
      <c r="C54" s="5" t="s">
        <v>17</v>
      </c>
      <c r="D54" s="5"/>
    </row>
    <row r="55" spans="1:16" x14ac:dyDescent="0.25">
      <c r="A55" s="35">
        <v>43346</v>
      </c>
      <c r="B55" s="36" t="s">
        <v>984</v>
      </c>
      <c r="C55" s="5" t="s">
        <v>39</v>
      </c>
      <c r="D55" s="5"/>
    </row>
    <row r="56" spans="1:16" x14ac:dyDescent="0.25">
      <c r="A56" s="35">
        <v>43354</v>
      </c>
      <c r="B56" s="5" t="s">
        <v>1019</v>
      </c>
      <c r="C56" s="5" t="s">
        <v>17</v>
      </c>
      <c r="D56" s="5"/>
    </row>
    <row r="57" spans="1:16" x14ac:dyDescent="0.25">
      <c r="A57" s="35">
        <v>43354</v>
      </c>
      <c r="B57" s="5" t="s">
        <v>1027</v>
      </c>
      <c r="C57" s="5" t="s">
        <v>39</v>
      </c>
      <c r="D57" s="5"/>
    </row>
    <row r="58" spans="1:16" x14ac:dyDescent="0.25">
      <c r="A58" s="95">
        <v>43361</v>
      </c>
      <c r="B58" s="96" t="s">
        <v>1053</v>
      </c>
      <c r="C58" s="96" t="s">
        <v>10</v>
      </c>
      <c r="D58" s="96" t="s">
        <v>838</v>
      </c>
    </row>
    <row r="59" spans="1:16" s="102" customFormat="1" x14ac:dyDescent="0.25">
      <c r="A59" s="95">
        <v>43368</v>
      </c>
      <c r="B59" s="96" t="s">
        <v>1100</v>
      </c>
      <c r="C59" s="96" t="s">
        <v>58</v>
      </c>
      <c r="D59" s="96" t="s">
        <v>838</v>
      </c>
    </row>
    <row r="60" spans="1:16" s="104" customFormat="1" x14ac:dyDescent="0.25">
      <c r="A60" s="95">
        <v>43369</v>
      </c>
      <c r="B60" s="96" t="s">
        <v>1116</v>
      </c>
      <c r="C60" s="96" t="s">
        <v>10</v>
      </c>
      <c r="D60" s="96" t="s">
        <v>838</v>
      </c>
    </row>
    <row r="61" spans="1:16" s="105" customFormat="1" x14ac:dyDescent="0.25">
      <c r="A61" s="95">
        <v>43369</v>
      </c>
      <c r="B61" s="96" t="s">
        <v>1120</v>
      </c>
      <c r="C61" s="96" t="s">
        <v>39</v>
      </c>
      <c r="D61" s="96" t="s">
        <v>838</v>
      </c>
    </row>
    <row r="62" spans="1:16" x14ac:dyDescent="0.25">
      <c r="A62" s="41">
        <v>43389</v>
      </c>
      <c r="B62" s="30" t="s">
        <v>1269</v>
      </c>
      <c r="C62" s="30" t="s">
        <v>10</v>
      </c>
    </row>
    <row r="63" spans="1:16" x14ac:dyDescent="0.25">
      <c r="A63" s="41">
        <v>43391</v>
      </c>
      <c r="B63" s="30" t="s">
        <v>1277</v>
      </c>
      <c r="C63" s="30" t="s">
        <v>39</v>
      </c>
    </row>
    <row r="64" spans="1:16" x14ac:dyDescent="0.25">
      <c r="A64" s="41">
        <v>43391</v>
      </c>
      <c r="B64" s="30" t="s">
        <v>1282</v>
      </c>
      <c r="C64" s="30" t="s">
        <v>10</v>
      </c>
    </row>
    <row r="65" spans="1:3" x14ac:dyDescent="0.25">
      <c r="A65" s="41">
        <v>43392</v>
      </c>
      <c r="B65" s="30" t="s">
        <v>1300</v>
      </c>
      <c r="C65" s="30" t="s">
        <v>39</v>
      </c>
    </row>
    <row r="66" spans="1:3" x14ac:dyDescent="0.25">
      <c r="A66" s="41">
        <v>43396</v>
      </c>
      <c r="B66" s="30" t="s">
        <v>1319</v>
      </c>
      <c r="C66" s="30" t="s">
        <v>17</v>
      </c>
    </row>
    <row r="67" spans="1:3" x14ac:dyDescent="0.25">
      <c r="A67" s="41">
        <v>43396</v>
      </c>
      <c r="B67" s="30" t="s">
        <v>1323</v>
      </c>
      <c r="C67" s="30" t="s">
        <v>10</v>
      </c>
    </row>
    <row r="68" spans="1:3" x14ac:dyDescent="0.25">
      <c r="A68" s="41">
        <v>43398</v>
      </c>
      <c r="B68" s="30" t="s">
        <v>1338</v>
      </c>
      <c r="C68" s="30" t="s">
        <v>39</v>
      </c>
    </row>
    <row r="69" spans="1:3" x14ac:dyDescent="0.25">
      <c r="C69" s="30" t="s">
        <v>17</v>
      </c>
    </row>
    <row r="70" spans="1:3" x14ac:dyDescent="0.25">
      <c r="C70" s="30" t="s">
        <v>10</v>
      </c>
    </row>
    <row r="71" spans="1:3" x14ac:dyDescent="0.25">
      <c r="C71" s="30" t="s">
        <v>39</v>
      </c>
    </row>
  </sheetData>
  <autoFilter ref="A3:D59" xr:uid="{00000000-0009-0000-0000-000005000000}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3.2" x14ac:dyDescent="0.25"/>
  <cols>
    <col min="1" max="1" width="10.109375" style="14" bestFit="1" customWidth="1"/>
    <col min="2" max="2" width="43.109375" style="12" customWidth="1"/>
    <col min="3" max="3" width="43.6640625" style="13" customWidth="1"/>
    <col min="4" max="4" width="15.33203125" customWidth="1"/>
    <col min="5" max="5" width="9.109375" bestFit="1" customWidth="1"/>
    <col min="6" max="6" width="12.5546875" bestFit="1" customWidth="1"/>
    <col min="7" max="7" width="36" customWidth="1"/>
    <col min="8" max="8" width="33.5546875" customWidth="1"/>
    <col min="9" max="9" width="29.5546875" customWidth="1"/>
    <col min="10" max="10" width="14.109375" customWidth="1"/>
  </cols>
  <sheetData>
    <row r="1" spans="1:10" ht="12.75" customHeight="1" x14ac:dyDescent="0.25">
      <c r="A1" s="138" t="s">
        <v>5</v>
      </c>
      <c r="B1" s="138"/>
      <c r="C1" s="138"/>
      <c r="D1" s="138"/>
      <c r="E1" s="138"/>
      <c r="F1" s="138"/>
      <c r="G1" s="138"/>
    </row>
    <row r="2" spans="1:10" ht="28.5" customHeight="1" x14ac:dyDescent="0.25">
      <c r="A2" s="138"/>
      <c r="B2" s="138"/>
      <c r="C2" s="138"/>
      <c r="D2" s="138"/>
      <c r="E2" s="138"/>
      <c r="F2" s="138"/>
      <c r="G2" s="138"/>
    </row>
    <row r="3" spans="1:10" s="29" customFormat="1" ht="11.4" x14ac:dyDescent="0.2">
      <c r="A3" s="42" t="s">
        <v>2</v>
      </c>
      <c r="B3" s="27" t="s">
        <v>6</v>
      </c>
      <c r="C3" s="27" t="s">
        <v>0</v>
      </c>
      <c r="D3" s="27" t="s">
        <v>1</v>
      </c>
      <c r="E3" s="27" t="s">
        <v>3</v>
      </c>
      <c r="F3" s="28" t="s">
        <v>4</v>
      </c>
      <c r="G3" s="28" t="s">
        <v>47</v>
      </c>
      <c r="H3" s="28" t="s">
        <v>48</v>
      </c>
      <c r="I3" s="28" t="s">
        <v>49</v>
      </c>
      <c r="J3" s="28" t="s">
        <v>13</v>
      </c>
    </row>
    <row r="4" spans="1:10" x14ac:dyDescent="0.25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5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5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5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5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5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6.4" x14ac:dyDescent="0.25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x14ac:dyDescent="0.25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5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5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5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5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5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5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5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6.4" x14ac:dyDescent="0.25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6.4" x14ac:dyDescent="0.25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5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5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5">
      <c r="A23" s="8">
        <v>43237</v>
      </c>
      <c r="B23" s="9" t="s">
        <v>453</v>
      </c>
      <c r="C23" s="15" t="s">
        <v>331</v>
      </c>
      <c r="D23" s="2" t="s">
        <v>454</v>
      </c>
      <c r="E23" s="2" t="s">
        <v>16</v>
      </c>
      <c r="F23" s="2" t="s">
        <v>22</v>
      </c>
      <c r="G23" s="18" t="s">
        <v>455</v>
      </c>
      <c r="H23" s="23">
        <v>43237</v>
      </c>
      <c r="I23" s="7"/>
    </row>
    <row r="24" spans="1:9" x14ac:dyDescent="0.25">
      <c r="A24" s="8">
        <v>43237</v>
      </c>
      <c r="B24" s="9" t="s">
        <v>456</v>
      </c>
      <c r="C24" s="15" t="s">
        <v>331</v>
      </c>
      <c r="D24" s="2" t="s">
        <v>457</v>
      </c>
      <c r="E24" s="2" t="s">
        <v>16</v>
      </c>
      <c r="F24" s="2" t="s">
        <v>22</v>
      </c>
      <c r="G24" s="18" t="s">
        <v>458</v>
      </c>
      <c r="H24" s="23">
        <v>43237</v>
      </c>
      <c r="I24" s="7"/>
    </row>
    <row r="25" spans="1:9" x14ac:dyDescent="0.25">
      <c r="A25" s="8">
        <v>43237</v>
      </c>
      <c r="B25" s="9" t="s">
        <v>19</v>
      </c>
      <c r="C25" s="15" t="s">
        <v>331</v>
      </c>
      <c r="D25" s="2" t="s">
        <v>459</v>
      </c>
      <c r="E25" s="2" t="s">
        <v>16</v>
      </c>
      <c r="F25" s="2" t="s">
        <v>22</v>
      </c>
      <c r="G25" s="18" t="s">
        <v>460</v>
      </c>
      <c r="H25" s="23">
        <v>43237</v>
      </c>
      <c r="I25" s="7"/>
    </row>
    <row r="26" spans="1:9" x14ac:dyDescent="0.25">
      <c r="A26" s="8">
        <v>43238</v>
      </c>
      <c r="B26" s="9" t="s">
        <v>462</v>
      </c>
      <c r="C26" s="15" t="s">
        <v>463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5">
      <c r="A27" s="8">
        <v>43241</v>
      </c>
      <c r="B27" s="9" t="s">
        <v>253</v>
      </c>
      <c r="C27" s="15" t="s">
        <v>265</v>
      </c>
      <c r="D27" s="2" t="s">
        <v>464</v>
      </c>
      <c r="E27" s="2" t="s">
        <v>53</v>
      </c>
      <c r="F27" s="2" t="s">
        <v>22</v>
      </c>
      <c r="G27" s="18" t="s">
        <v>465</v>
      </c>
      <c r="H27" s="23">
        <v>43241</v>
      </c>
      <c r="I27" s="7"/>
    </row>
    <row r="28" spans="1:9" x14ac:dyDescent="0.25">
      <c r="A28" s="8">
        <v>43241</v>
      </c>
      <c r="B28" s="9" t="s">
        <v>466</v>
      </c>
      <c r="C28" s="15" t="s">
        <v>467</v>
      </c>
      <c r="D28" s="2" t="s">
        <v>468</v>
      </c>
      <c r="E28" s="2" t="s">
        <v>164</v>
      </c>
      <c r="F28" s="2" t="s">
        <v>22</v>
      </c>
      <c r="G28" s="18" t="s">
        <v>469</v>
      </c>
      <c r="H28" s="23">
        <v>43241</v>
      </c>
      <c r="I28" s="7"/>
    </row>
    <row r="29" spans="1:9" ht="26.4" x14ac:dyDescent="0.25">
      <c r="A29" s="8">
        <v>43243</v>
      </c>
      <c r="B29" s="9" t="s">
        <v>491</v>
      </c>
      <c r="C29" s="15" t="s">
        <v>492</v>
      </c>
      <c r="D29" s="2"/>
      <c r="E29" s="2"/>
      <c r="F29" s="2" t="s">
        <v>22</v>
      </c>
      <c r="G29" s="25" t="s">
        <v>493</v>
      </c>
      <c r="H29" s="23">
        <v>43243</v>
      </c>
      <c r="I29" s="7"/>
    </row>
    <row r="30" spans="1:9" ht="26.4" x14ac:dyDescent="0.25">
      <c r="A30" s="8">
        <v>43244</v>
      </c>
      <c r="B30" s="9" t="s">
        <v>498</v>
      </c>
      <c r="C30" s="15" t="s">
        <v>499</v>
      </c>
      <c r="D30" s="2"/>
      <c r="E30" s="2" t="s">
        <v>67</v>
      </c>
      <c r="F30" s="2" t="s">
        <v>22</v>
      </c>
      <c r="G30" s="18" t="s">
        <v>493</v>
      </c>
      <c r="H30" s="23">
        <v>43244</v>
      </c>
      <c r="I30" s="7"/>
    </row>
    <row r="31" spans="1:9" x14ac:dyDescent="0.25">
      <c r="A31" s="8">
        <v>43248</v>
      </c>
      <c r="B31" s="9" t="s">
        <v>530</v>
      </c>
      <c r="C31" s="15" t="s">
        <v>531</v>
      </c>
      <c r="D31" s="2" t="s">
        <v>25</v>
      </c>
      <c r="E31" s="2" t="s">
        <v>16</v>
      </c>
      <c r="F31" s="2" t="s">
        <v>22</v>
      </c>
      <c r="G31" s="18" t="s">
        <v>529</v>
      </c>
      <c r="H31" s="23">
        <v>43248</v>
      </c>
      <c r="I31" s="7"/>
    </row>
    <row r="32" spans="1:9" x14ac:dyDescent="0.25">
      <c r="A32" s="8">
        <v>43248</v>
      </c>
      <c r="B32" s="9" t="s">
        <v>532</v>
      </c>
      <c r="C32" s="15" t="s">
        <v>531</v>
      </c>
      <c r="D32" s="2"/>
      <c r="E32" s="2" t="s">
        <v>67</v>
      </c>
      <c r="F32" s="2" t="s">
        <v>22</v>
      </c>
      <c r="G32" s="18" t="s">
        <v>529</v>
      </c>
      <c r="H32" s="23">
        <v>43248</v>
      </c>
      <c r="I32" s="7"/>
    </row>
    <row r="33" spans="1:18" ht="26.4" x14ac:dyDescent="0.25">
      <c r="A33" s="8">
        <v>43272</v>
      </c>
      <c r="B33" s="9" t="s">
        <v>613</v>
      </c>
      <c r="C33" s="15" t="s">
        <v>614</v>
      </c>
      <c r="D33" s="2" t="s">
        <v>546</v>
      </c>
      <c r="E33" s="2" t="s">
        <v>547</v>
      </c>
      <c r="F33" s="2" t="s">
        <v>22</v>
      </c>
      <c r="G33" s="25" t="s">
        <v>615</v>
      </c>
      <c r="H33" s="23">
        <v>43272</v>
      </c>
      <c r="I33" s="7"/>
    </row>
    <row r="34" spans="1:18" x14ac:dyDescent="0.25">
      <c r="A34" s="8">
        <v>43272</v>
      </c>
      <c r="B34" s="9" t="s">
        <v>620</v>
      </c>
      <c r="C34" s="15" t="s">
        <v>621</v>
      </c>
      <c r="D34" s="2" t="s">
        <v>622</v>
      </c>
      <c r="E34" s="2" t="s">
        <v>32</v>
      </c>
      <c r="F34" s="2" t="s">
        <v>22</v>
      </c>
      <c r="G34" s="18" t="s">
        <v>615</v>
      </c>
      <c r="H34" s="23">
        <v>43272</v>
      </c>
      <c r="I34" s="7"/>
    </row>
    <row r="35" spans="1:18" ht="26.4" x14ac:dyDescent="0.25">
      <c r="A35" s="8">
        <v>43272</v>
      </c>
      <c r="B35" s="9" t="s">
        <v>548</v>
      </c>
      <c r="C35" s="15" t="s">
        <v>623</v>
      </c>
      <c r="D35" s="2" t="s">
        <v>546</v>
      </c>
      <c r="E35" s="2" t="s">
        <v>547</v>
      </c>
      <c r="F35" s="2" t="s">
        <v>22</v>
      </c>
      <c r="G35" s="25" t="s">
        <v>615</v>
      </c>
      <c r="H35" s="23">
        <v>43272</v>
      </c>
      <c r="I35" s="7"/>
    </row>
    <row r="36" spans="1:18" x14ac:dyDescent="0.25">
      <c r="A36" s="8">
        <v>43286</v>
      </c>
      <c r="B36" s="9" t="s">
        <v>669</v>
      </c>
      <c r="C36" s="15" t="s">
        <v>670</v>
      </c>
      <c r="D36" s="3" t="s">
        <v>671</v>
      </c>
      <c r="E36" s="2" t="s">
        <v>625</v>
      </c>
      <c r="F36" s="2" t="s">
        <v>22</v>
      </c>
      <c r="G36" s="25">
        <v>43286</v>
      </c>
      <c r="H36" s="23">
        <v>43286</v>
      </c>
      <c r="I36" s="7"/>
    </row>
    <row r="37" spans="1:18" x14ac:dyDescent="0.25">
      <c r="A37" s="8">
        <v>43286</v>
      </c>
      <c r="B37" s="9" t="s">
        <v>672</v>
      </c>
      <c r="C37" s="15" t="s">
        <v>670</v>
      </c>
      <c r="D37" s="2" t="s">
        <v>673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5">
      <c r="A38" s="8">
        <v>43286</v>
      </c>
      <c r="B38" s="9" t="s">
        <v>674</v>
      </c>
      <c r="C38" s="17" t="s">
        <v>670</v>
      </c>
      <c r="D38" s="2" t="s">
        <v>675</v>
      </c>
      <c r="E38" s="2" t="s">
        <v>676</v>
      </c>
      <c r="F38" s="2" t="s">
        <v>22</v>
      </c>
      <c r="G38" s="25">
        <v>43286</v>
      </c>
      <c r="H38" s="23">
        <v>43286</v>
      </c>
      <c r="I38" s="7"/>
    </row>
    <row r="39" spans="1:18" x14ac:dyDescent="0.25">
      <c r="A39" s="8">
        <v>43286</v>
      </c>
      <c r="B39" s="9" t="s">
        <v>677</v>
      </c>
      <c r="C39" s="15" t="s">
        <v>670</v>
      </c>
      <c r="D39" s="2" t="s">
        <v>678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5">
      <c r="A40" s="8">
        <v>43294</v>
      </c>
      <c r="B40" s="9" t="s">
        <v>707</v>
      </c>
      <c r="C40" s="15" t="s">
        <v>708</v>
      </c>
      <c r="D40" s="2" t="s">
        <v>709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6.4" x14ac:dyDescent="0.25">
      <c r="A41" s="8">
        <v>43294</v>
      </c>
      <c r="B41" s="9" t="s">
        <v>729</v>
      </c>
      <c r="C41" s="15" t="s">
        <v>730</v>
      </c>
      <c r="D41" s="2" t="s">
        <v>731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5">
      <c r="A42" s="8">
        <v>43307</v>
      </c>
      <c r="B42" s="9" t="s">
        <v>758</v>
      </c>
      <c r="C42" s="15" t="s">
        <v>55</v>
      </c>
      <c r="D42" s="2" t="s">
        <v>759</v>
      </c>
      <c r="E42" s="2" t="s">
        <v>760</v>
      </c>
      <c r="F42" s="2" t="s">
        <v>39</v>
      </c>
      <c r="G42" s="25">
        <v>43307</v>
      </c>
      <c r="H42" s="23">
        <v>43307</v>
      </c>
      <c r="I42" s="7"/>
    </row>
    <row r="43" spans="1:18" x14ac:dyDescent="0.25">
      <c r="A43" s="8">
        <v>43312</v>
      </c>
      <c r="B43" s="9" t="s">
        <v>146</v>
      </c>
      <c r="C43" s="15" t="s">
        <v>543</v>
      </c>
      <c r="D43" s="6" t="s">
        <v>544</v>
      </c>
      <c r="E43" s="2" t="s">
        <v>16</v>
      </c>
      <c r="F43" s="2" t="s">
        <v>39</v>
      </c>
      <c r="G43" s="25">
        <v>43250</v>
      </c>
      <c r="H43" s="23">
        <v>43312</v>
      </c>
      <c r="I43" s="139" t="s">
        <v>807</v>
      </c>
      <c r="J43" s="140"/>
      <c r="K43" s="140"/>
      <c r="L43" s="140"/>
      <c r="M43" s="140"/>
      <c r="N43" s="140"/>
      <c r="O43" s="140"/>
      <c r="P43" s="140"/>
      <c r="Q43" s="140"/>
      <c r="R43" t="s">
        <v>808</v>
      </c>
    </row>
    <row r="44" spans="1:18" ht="39.6" x14ac:dyDescent="0.25">
      <c r="A44" s="8">
        <v>43312</v>
      </c>
      <c r="B44" s="9" t="s">
        <v>228</v>
      </c>
      <c r="C44" s="10" t="s">
        <v>810</v>
      </c>
      <c r="D44" s="2" t="s">
        <v>809</v>
      </c>
      <c r="E44" s="2" t="s">
        <v>188</v>
      </c>
      <c r="F44" s="2" t="s">
        <v>172</v>
      </c>
      <c r="G44" s="93" t="s">
        <v>811</v>
      </c>
      <c r="H44" s="23">
        <v>43312</v>
      </c>
      <c r="I44" s="7"/>
    </row>
    <row r="45" spans="1:18" ht="39.6" x14ac:dyDescent="0.25">
      <c r="A45" s="8">
        <v>43312</v>
      </c>
      <c r="B45" s="9" t="s">
        <v>812</v>
      </c>
      <c r="C45" s="10" t="s">
        <v>813</v>
      </c>
      <c r="D45" s="2" t="s">
        <v>814</v>
      </c>
      <c r="E45" s="2" t="s">
        <v>53</v>
      </c>
      <c r="F45" s="2" t="s">
        <v>172</v>
      </c>
      <c r="G45" s="93" t="s">
        <v>811</v>
      </c>
      <c r="H45" s="23">
        <v>43312</v>
      </c>
      <c r="I45" s="7"/>
    </row>
    <row r="46" spans="1:18" x14ac:dyDescent="0.25">
      <c r="A46" s="8">
        <v>43315</v>
      </c>
      <c r="B46" s="9" t="s">
        <v>826</v>
      </c>
      <c r="C46" s="10" t="s">
        <v>827</v>
      </c>
      <c r="D46" s="2" t="s">
        <v>624</v>
      </c>
      <c r="E46" s="2" t="s">
        <v>625</v>
      </c>
      <c r="F46" s="2" t="s">
        <v>39</v>
      </c>
      <c r="G46" s="25">
        <v>43314</v>
      </c>
      <c r="H46" s="23">
        <v>43315</v>
      </c>
      <c r="I46" s="7"/>
    </row>
    <row r="47" spans="1:18" x14ac:dyDescent="0.25">
      <c r="A47" s="8">
        <v>43315</v>
      </c>
      <c r="B47" s="9" t="s">
        <v>828</v>
      </c>
      <c r="C47" s="10" t="s">
        <v>829</v>
      </c>
      <c r="D47" s="2" t="s">
        <v>830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5">
      <c r="A48" s="8">
        <v>43315</v>
      </c>
      <c r="B48" s="9" t="s">
        <v>831</v>
      </c>
      <c r="C48" s="10" t="s">
        <v>832</v>
      </c>
      <c r="D48" s="2" t="s">
        <v>833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6.4" x14ac:dyDescent="0.25">
      <c r="A49" s="8">
        <v>43320</v>
      </c>
      <c r="B49" s="9" t="s">
        <v>859</v>
      </c>
      <c r="C49" s="10" t="s">
        <v>861</v>
      </c>
      <c r="D49" s="2" t="s">
        <v>860</v>
      </c>
      <c r="E49" s="2" t="s">
        <v>760</v>
      </c>
      <c r="F49" s="2" t="s">
        <v>22</v>
      </c>
      <c r="G49" s="25">
        <v>43305</v>
      </c>
      <c r="H49" s="23">
        <v>43320</v>
      </c>
      <c r="I49" s="139" t="s">
        <v>862</v>
      </c>
      <c r="J49" s="140"/>
      <c r="K49" s="140"/>
      <c r="L49" s="140"/>
      <c r="M49" s="140"/>
    </row>
    <row r="50" spans="1:13" ht="26.4" x14ac:dyDescent="0.25">
      <c r="A50" s="8">
        <v>43320</v>
      </c>
      <c r="B50" s="9" t="s">
        <v>863</v>
      </c>
      <c r="C50" s="10" t="s">
        <v>864</v>
      </c>
      <c r="D50" s="2" t="s">
        <v>865</v>
      </c>
      <c r="E50" s="2" t="s">
        <v>32</v>
      </c>
      <c r="F50" s="2" t="s">
        <v>22</v>
      </c>
      <c r="G50" s="25">
        <v>43305</v>
      </c>
      <c r="H50" s="23">
        <v>43320</v>
      </c>
      <c r="I50" s="94"/>
    </row>
    <row r="51" spans="1:13" ht="26.4" x14ac:dyDescent="0.25">
      <c r="A51" s="8">
        <v>43320</v>
      </c>
      <c r="B51" s="9" t="s">
        <v>866</v>
      </c>
      <c r="C51" s="10" t="s">
        <v>867</v>
      </c>
      <c r="D51" s="2" t="s">
        <v>868</v>
      </c>
      <c r="E51" s="2" t="s">
        <v>16</v>
      </c>
      <c r="F51" s="2" t="s">
        <v>22</v>
      </c>
      <c r="G51" s="25">
        <v>43305</v>
      </c>
      <c r="H51" s="23">
        <v>43320</v>
      </c>
      <c r="I51" s="94"/>
    </row>
    <row r="52" spans="1:13" ht="26.4" x14ac:dyDescent="0.25">
      <c r="A52" s="8">
        <v>43320</v>
      </c>
      <c r="B52" s="9" t="s">
        <v>548</v>
      </c>
      <c r="C52" s="10" t="s">
        <v>869</v>
      </c>
      <c r="D52" s="2" t="s">
        <v>870</v>
      </c>
      <c r="E52" s="2" t="s">
        <v>547</v>
      </c>
      <c r="F52" s="2" t="s">
        <v>22</v>
      </c>
      <c r="G52" s="25">
        <v>43305</v>
      </c>
      <c r="H52" s="23">
        <v>43320</v>
      </c>
      <c r="I52" s="94"/>
    </row>
    <row r="53" spans="1:13" x14ac:dyDescent="0.25">
      <c r="A53" s="8">
        <v>43328</v>
      </c>
      <c r="B53" s="9" t="s">
        <v>548</v>
      </c>
      <c r="C53" s="10" t="s">
        <v>894</v>
      </c>
      <c r="D53" s="2" t="s">
        <v>546</v>
      </c>
      <c r="E53" s="2" t="s">
        <v>547</v>
      </c>
      <c r="F53" s="2" t="s">
        <v>22</v>
      </c>
      <c r="G53" s="25">
        <v>43328</v>
      </c>
      <c r="H53" s="23">
        <v>43328</v>
      </c>
      <c r="I53" s="94"/>
    </row>
    <row r="54" spans="1:13" ht="26.4" x14ac:dyDescent="0.25">
      <c r="A54" s="8">
        <v>43335</v>
      </c>
      <c r="B54" s="9" t="s">
        <v>926</v>
      </c>
      <c r="C54" s="10" t="s">
        <v>924</v>
      </c>
      <c r="D54" s="2" t="s">
        <v>925</v>
      </c>
      <c r="E54" s="2" t="s">
        <v>102</v>
      </c>
      <c r="F54" s="2" t="s">
        <v>22</v>
      </c>
      <c r="G54" s="25">
        <v>43335</v>
      </c>
      <c r="H54" s="23">
        <v>43335</v>
      </c>
      <c r="I54" s="97" t="s">
        <v>927</v>
      </c>
    </row>
    <row r="55" spans="1:13" x14ac:dyDescent="0.25">
      <c r="A55" s="8">
        <v>43335</v>
      </c>
      <c r="B55" s="9" t="s">
        <v>928</v>
      </c>
      <c r="C55" s="10" t="s">
        <v>929</v>
      </c>
      <c r="D55" s="2" t="s">
        <v>930</v>
      </c>
      <c r="E55" s="2" t="s">
        <v>86</v>
      </c>
      <c r="F55" s="2" t="s">
        <v>931</v>
      </c>
      <c r="G55" s="25">
        <v>43318</v>
      </c>
      <c r="H55" s="23">
        <v>43335</v>
      </c>
      <c r="I55" s="94"/>
    </row>
    <row r="56" spans="1:13" ht="26.4" x14ac:dyDescent="0.25">
      <c r="A56" s="8">
        <v>43340</v>
      </c>
      <c r="B56" s="9" t="s">
        <v>947</v>
      </c>
      <c r="C56" s="10" t="s">
        <v>949</v>
      </c>
      <c r="D56" s="2" t="s">
        <v>948</v>
      </c>
      <c r="E56" s="2" t="s">
        <v>592</v>
      </c>
      <c r="F56" s="2" t="s">
        <v>22</v>
      </c>
      <c r="G56" s="25">
        <v>43340</v>
      </c>
      <c r="H56" s="23">
        <v>43340</v>
      </c>
      <c r="I56" s="97" t="s">
        <v>950</v>
      </c>
    </row>
    <row r="57" spans="1:13" ht="39.6" x14ac:dyDescent="0.25">
      <c r="A57" s="8">
        <v>43340</v>
      </c>
      <c r="B57" s="9" t="s">
        <v>951</v>
      </c>
      <c r="C57" s="10" t="s">
        <v>952</v>
      </c>
      <c r="D57" s="2" t="s">
        <v>953</v>
      </c>
      <c r="E57" s="2" t="s">
        <v>77</v>
      </c>
      <c r="F57" s="2" t="s">
        <v>22</v>
      </c>
      <c r="G57" s="25"/>
      <c r="H57" s="23">
        <v>43340</v>
      </c>
      <c r="I57" s="98"/>
    </row>
    <row r="58" spans="1:13" ht="26.4" x14ac:dyDescent="0.25">
      <c r="A58" s="8">
        <v>43340</v>
      </c>
      <c r="B58" s="9" t="s">
        <v>956</v>
      </c>
      <c r="C58" s="10" t="s">
        <v>957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98" t="s">
        <v>950</v>
      </c>
    </row>
    <row r="59" spans="1:13" ht="39.6" x14ac:dyDescent="0.25">
      <c r="A59" s="8">
        <v>43340</v>
      </c>
      <c r="B59" s="9" t="s">
        <v>958</v>
      </c>
      <c r="C59" s="10" t="s">
        <v>959</v>
      </c>
      <c r="D59" s="2" t="s">
        <v>948</v>
      </c>
      <c r="E59" s="2" t="s">
        <v>592</v>
      </c>
      <c r="F59" s="2" t="s">
        <v>22</v>
      </c>
      <c r="G59" s="25">
        <v>43340</v>
      </c>
      <c r="H59" s="23">
        <v>43340</v>
      </c>
      <c r="I59" s="97" t="s">
        <v>950</v>
      </c>
    </row>
    <row r="60" spans="1:13" x14ac:dyDescent="0.25">
      <c r="A60" s="8">
        <v>43343</v>
      </c>
      <c r="B60" s="9" t="s">
        <v>845</v>
      </c>
      <c r="C60" s="10" t="s">
        <v>894</v>
      </c>
      <c r="D60" s="2" t="s">
        <v>978</v>
      </c>
      <c r="E60" s="2" t="s">
        <v>53</v>
      </c>
      <c r="F60" s="2" t="s">
        <v>22</v>
      </c>
      <c r="G60" s="25">
        <v>43343</v>
      </c>
      <c r="H60" s="23">
        <v>43343</v>
      </c>
      <c r="I60" s="98"/>
    </row>
    <row r="61" spans="1:13" ht="26.4" x14ac:dyDescent="0.25">
      <c r="A61" s="8">
        <v>43354</v>
      </c>
      <c r="B61" s="9" t="s">
        <v>1010</v>
      </c>
      <c r="C61" s="10" t="s">
        <v>1012</v>
      </c>
      <c r="D61" s="2" t="s">
        <v>1011</v>
      </c>
      <c r="E61" s="2" t="s">
        <v>16</v>
      </c>
      <c r="F61" s="5" t="s">
        <v>1013</v>
      </c>
      <c r="G61" s="25">
        <v>43354</v>
      </c>
      <c r="H61" s="23">
        <v>43354</v>
      </c>
      <c r="I61" s="139" t="s">
        <v>1014</v>
      </c>
      <c r="J61" s="140"/>
      <c r="K61" s="140"/>
      <c r="L61" s="140"/>
      <c r="M61" s="140"/>
    </row>
    <row r="62" spans="1:13" x14ac:dyDescent="0.25">
      <c r="A62" s="8">
        <v>43360</v>
      </c>
      <c r="B62" s="9" t="s">
        <v>1054</v>
      </c>
      <c r="C62" s="10" t="s">
        <v>1055</v>
      </c>
      <c r="D62" s="2" t="s">
        <v>1056</v>
      </c>
      <c r="E62" s="2" t="s">
        <v>91</v>
      </c>
      <c r="F62" s="2" t="s">
        <v>22</v>
      </c>
      <c r="G62" s="25">
        <v>43360</v>
      </c>
      <c r="H62" s="23">
        <v>43360</v>
      </c>
      <c r="I62" s="98"/>
    </row>
    <row r="63" spans="1:13" ht="26.4" x14ac:dyDescent="0.25">
      <c r="A63" s="8">
        <v>43360</v>
      </c>
      <c r="B63" s="9" t="s">
        <v>1044</v>
      </c>
      <c r="C63" s="10" t="s">
        <v>1057</v>
      </c>
      <c r="D63" s="2" t="s">
        <v>1058</v>
      </c>
      <c r="E63" s="2" t="s">
        <v>91</v>
      </c>
      <c r="F63" s="2" t="s">
        <v>22</v>
      </c>
      <c r="G63" s="25">
        <v>43360</v>
      </c>
      <c r="H63" s="23">
        <v>43360</v>
      </c>
      <c r="I63" s="98"/>
    </row>
    <row r="64" spans="1:13" x14ac:dyDescent="0.25">
      <c r="A64" s="8">
        <v>43360</v>
      </c>
      <c r="B64" s="9" t="s">
        <v>1046</v>
      </c>
      <c r="C64" s="10" t="s">
        <v>605</v>
      </c>
      <c r="D64" s="2" t="s">
        <v>1059</v>
      </c>
      <c r="E64" s="2" t="s">
        <v>43</v>
      </c>
      <c r="F64" s="2" t="s">
        <v>22</v>
      </c>
      <c r="G64" s="25">
        <v>43360</v>
      </c>
      <c r="H64" s="23">
        <v>43360</v>
      </c>
      <c r="I64" s="98"/>
    </row>
    <row r="65" spans="1:9" ht="26.4" x14ac:dyDescent="0.25">
      <c r="A65" s="8">
        <v>43361</v>
      </c>
      <c r="B65" s="9" t="s">
        <v>1049</v>
      </c>
      <c r="C65" s="10" t="s">
        <v>1048</v>
      </c>
      <c r="D65" s="2" t="s">
        <v>1060</v>
      </c>
      <c r="E65" s="2" t="s">
        <v>77</v>
      </c>
      <c r="F65" s="2" t="s">
        <v>22</v>
      </c>
      <c r="G65" s="25">
        <v>43361</v>
      </c>
      <c r="H65" s="23">
        <v>43361</v>
      </c>
      <c r="I65" s="98"/>
    </row>
    <row r="66" spans="1:9" ht="26.4" x14ac:dyDescent="0.25">
      <c r="A66" s="8">
        <v>43361</v>
      </c>
      <c r="B66" s="9" t="s">
        <v>1061</v>
      </c>
      <c r="C66" s="10" t="s">
        <v>1062</v>
      </c>
      <c r="D66" s="2" t="s">
        <v>1063</v>
      </c>
      <c r="E66" s="2" t="s">
        <v>32</v>
      </c>
      <c r="F66" s="2" t="s">
        <v>22</v>
      </c>
      <c r="G66" s="25">
        <v>43361</v>
      </c>
      <c r="H66" s="23">
        <v>43361</v>
      </c>
      <c r="I66" s="98"/>
    </row>
    <row r="67" spans="1:9" ht="26.4" x14ac:dyDescent="0.25">
      <c r="A67" s="8">
        <v>43361</v>
      </c>
      <c r="B67" s="9" t="s">
        <v>1064</v>
      </c>
      <c r="C67" s="10" t="s">
        <v>1065</v>
      </c>
      <c r="D67" s="2" t="s">
        <v>1066</v>
      </c>
      <c r="E67" s="2" t="s">
        <v>91</v>
      </c>
      <c r="F67" s="2" t="s">
        <v>22</v>
      </c>
      <c r="G67" s="25">
        <v>43361</v>
      </c>
      <c r="H67" s="23">
        <v>43361</v>
      </c>
      <c r="I67" s="98"/>
    </row>
    <row r="68" spans="1:9" x14ac:dyDescent="0.25">
      <c r="A68" s="8">
        <v>43361</v>
      </c>
      <c r="B68" s="9" t="s">
        <v>1067</v>
      </c>
      <c r="C68" s="10" t="s">
        <v>1068</v>
      </c>
      <c r="D68" s="2" t="s">
        <v>1069</v>
      </c>
      <c r="E68" s="2" t="s">
        <v>91</v>
      </c>
      <c r="F68" s="2" t="s">
        <v>22</v>
      </c>
      <c r="G68" s="25">
        <v>43361</v>
      </c>
      <c r="H68" s="23">
        <v>43361</v>
      </c>
      <c r="I68" s="98"/>
    </row>
    <row r="69" spans="1:9" ht="26.4" x14ac:dyDescent="0.25">
      <c r="A69" s="8">
        <v>43361</v>
      </c>
      <c r="B69" s="9" t="s">
        <v>1070</v>
      </c>
      <c r="C69" s="10" t="s">
        <v>1071</v>
      </c>
      <c r="D69" s="2" t="s">
        <v>1072</v>
      </c>
      <c r="E69" s="2" t="s">
        <v>360</v>
      </c>
      <c r="F69" s="2" t="s">
        <v>22</v>
      </c>
      <c r="G69" s="25">
        <v>43361</v>
      </c>
      <c r="H69" s="23">
        <v>43361</v>
      </c>
      <c r="I69" s="98"/>
    </row>
    <row r="70" spans="1:9" ht="26.4" x14ac:dyDescent="0.25">
      <c r="A70" s="8">
        <v>43363</v>
      </c>
      <c r="B70" s="9" t="s">
        <v>1085</v>
      </c>
      <c r="C70" s="10" t="s">
        <v>1086</v>
      </c>
      <c r="D70" s="2" t="s">
        <v>1087</v>
      </c>
      <c r="E70" s="70" t="s">
        <v>91</v>
      </c>
      <c r="F70" s="2" t="s">
        <v>22</v>
      </c>
      <c r="G70" s="25">
        <v>43363</v>
      </c>
      <c r="H70" s="23">
        <v>43363</v>
      </c>
      <c r="I70" s="98"/>
    </row>
    <row r="71" spans="1:9" ht="22.8" x14ac:dyDescent="0.25">
      <c r="A71" s="8">
        <v>43369</v>
      </c>
      <c r="B71" s="9" t="s">
        <v>1110</v>
      </c>
      <c r="C71" s="69" t="s">
        <v>1111</v>
      </c>
      <c r="D71" s="71" t="s">
        <v>1112</v>
      </c>
      <c r="E71" s="70" t="s">
        <v>91</v>
      </c>
      <c r="F71" s="2" t="s">
        <v>22</v>
      </c>
      <c r="G71" s="25">
        <v>43369</v>
      </c>
      <c r="H71" s="23">
        <v>43369</v>
      </c>
      <c r="I71" s="98"/>
    </row>
    <row r="72" spans="1:9" ht="22.8" x14ac:dyDescent="0.25">
      <c r="A72" s="8">
        <v>43370</v>
      </c>
      <c r="B72" s="9" t="s">
        <v>1138</v>
      </c>
      <c r="C72" s="69" t="s">
        <v>1139</v>
      </c>
      <c r="D72" s="71" t="s">
        <v>1140</v>
      </c>
      <c r="E72" s="70" t="s">
        <v>676</v>
      </c>
      <c r="F72" s="2" t="s">
        <v>22</v>
      </c>
      <c r="G72" s="25">
        <v>43370</v>
      </c>
      <c r="H72" s="23">
        <v>43370</v>
      </c>
      <c r="I72" s="103"/>
    </row>
    <row r="73" spans="1:9" ht="22.8" x14ac:dyDescent="0.25">
      <c r="A73" s="8">
        <v>43374</v>
      </c>
      <c r="B73" s="9" t="s">
        <v>1155</v>
      </c>
      <c r="C73" s="69" t="s">
        <v>1156</v>
      </c>
      <c r="D73" s="71" t="s">
        <v>1157</v>
      </c>
      <c r="E73" s="70" t="s">
        <v>91</v>
      </c>
      <c r="F73" s="2" t="s">
        <v>39</v>
      </c>
      <c r="G73" s="25">
        <v>43374</v>
      </c>
      <c r="H73" s="23">
        <v>43374</v>
      </c>
      <c r="I73" s="103"/>
    </row>
    <row r="74" spans="1:9" ht="39.6" x14ac:dyDescent="0.25">
      <c r="A74" s="8">
        <v>43374</v>
      </c>
      <c r="B74" s="9" t="s">
        <v>1158</v>
      </c>
      <c r="C74" s="10" t="s">
        <v>1159</v>
      </c>
      <c r="D74" s="2" t="s">
        <v>1160</v>
      </c>
      <c r="E74" s="70" t="s">
        <v>676</v>
      </c>
      <c r="F74" s="2" t="s">
        <v>39</v>
      </c>
      <c r="G74" s="25">
        <v>43374</v>
      </c>
      <c r="H74" s="23">
        <v>43374</v>
      </c>
      <c r="I74" s="103"/>
    </row>
    <row r="75" spans="1:9" x14ac:dyDescent="0.25">
      <c r="A75" s="8">
        <v>43134</v>
      </c>
      <c r="B75" s="9" t="s">
        <v>1185</v>
      </c>
      <c r="C75" s="10" t="s">
        <v>1186</v>
      </c>
      <c r="D75" s="2" t="s">
        <v>1187</v>
      </c>
      <c r="E75" s="70" t="s">
        <v>53</v>
      </c>
      <c r="F75" s="2" t="s">
        <v>39</v>
      </c>
      <c r="G75" s="25">
        <v>43376</v>
      </c>
      <c r="H75" s="23">
        <v>43376</v>
      </c>
      <c r="I75" s="103"/>
    </row>
    <row r="76" spans="1:9" x14ac:dyDescent="0.25">
      <c r="A76" s="8">
        <v>43376</v>
      </c>
      <c r="B76" s="9" t="s">
        <v>1189</v>
      </c>
      <c r="C76" s="10" t="s">
        <v>55</v>
      </c>
      <c r="D76" s="2" t="s">
        <v>1190</v>
      </c>
      <c r="E76" s="70" t="s">
        <v>760</v>
      </c>
      <c r="F76" s="2" t="s">
        <v>172</v>
      </c>
      <c r="G76" s="25">
        <v>43376</v>
      </c>
      <c r="H76" s="23">
        <v>43376</v>
      </c>
      <c r="I76" s="103"/>
    </row>
    <row r="77" spans="1:9" ht="39.6" x14ac:dyDescent="0.25">
      <c r="A77" s="8">
        <v>43376</v>
      </c>
      <c r="B77" s="9" t="s">
        <v>1191</v>
      </c>
      <c r="C77" s="10" t="s">
        <v>1192</v>
      </c>
      <c r="D77" s="2" t="s">
        <v>1058</v>
      </c>
      <c r="E77" s="70" t="s">
        <v>91</v>
      </c>
      <c r="F77" s="2" t="s">
        <v>172</v>
      </c>
      <c r="G77" s="25">
        <v>43376</v>
      </c>
      <c r="H77" s="23">
        <v>43376</v>
      </c>
      <c r="I77" s="103"/>
    </row>
    <row r="78" spans="1:9" x14ac:dyDescent="0.25">
      <c r="A78" s="8"/>
      <c r="B78" s="9"/>
      <c r="C78" s="10"/>
      <c r="D78" s="2"/>
      <c r="E78" s="70"/>
      <c r="F78" s="2"/>
      <c r="G78" s="25"/>
      <c r="H78" s="23"/>
      <c r="I78" s="103"/>
    </row>
    <row r="79" spans="1:9" x14ac:dyDescent="0.25">
      <c r="A79" s="8"/>
      <c r="B79" s="9"/>
      <c r="C79" s="10"/>
      <c r="D79" s="2"/>
      <c r="E79" s="70"/>
      <c r="F79" s="2"/>
      <c r="G79" s="25"/>
      <c r="H79" s="23"/>
      <c r="I79" s="103"/>
    </row>
    <row r="80" spans="1:9" x14ac:dyDescent="0.25">
      <c r="A80" s="8"/>
      <c r="B80" s="9"/>
      <c r="C80" s="10"/>
      <c r="D80" s="2"/>
      <c r="E80" s="70"/>
      <c r="F80" s="2"/>
      <c r="G80" s="25"/>
      <c r="H80" s="23"/>
      <c r="I80" s="103"/>
    </row>
    <row r="81" spans="1:9" x14ac:dyDescent="0.25">
      <c r="A81" s="8"/>
      <c r="B81" s="9"/>
      <c r="C81" s="10"/>
      <c r="D81" s="2"/>
      <c r="E81" s="70"/>
      <c r="F81" s="2"/>
      <c r="G81" s="25"/>
      <c r="H81" s="23"/>
      <c r="I81" s="103"/>
    </row>
    <row r="82" spans="1:9" x14ac:dyDescent="0.25">
      <c r="A82" s="8"/>
      <c r="B82" s="9"/>
      <c r="C82" s="10"/>
      <c r="D82" s="2"/>
      <c r="E82" s="70"/>
      <c r="F82" s="2"/>
      <c r="G82" s="25"/>
      <c r="H82" s="23"/>
      <c r="I82" s="103"/>
    </row>
    <row r="83" spans="1:9" x14ac:dyDescent="0.25">
      <c r="A83" s="8"/>
      <c r="B83" s="9"/>
      <c r="C83" s="10"/>
      <c r="D83" s="2"/>
      <c r="E83" s="70"/>
      <c r="F83" s="2"/>
      <c r="G83" s="25"/>
      <c r="H83" s="23"/>
      <c r="I83" s="103"/>
    </row>
    <row r="84" spans="1:9" x14ac:dyDescent="0.25">
      <c r="A84" s="8"/>
      <c r="B84" s="9"/>
      <c r="C84" s="10"/>
      <c r="D84" s="2"/>
      <c r="E84" s="70"/>
      <c r="F84" s="2"/>
      <c r="G84" s="25"/>
      <c r="H84" s="23"/>
      <c r="I84" s="103"/>
    </row>
    <row r="85" spans="1:9" x14ac:dyDescent="0.25">
      <c r="A85" s="8"/>
      <c r="B85" s="9"/>
      <c r="C85" s="10"/>
      <c r="D85" s="2"/>
      <c r="E85" s="70"/>
      <c r="F85" s="2"/>
      <c r="G85" s="25"/>
      <c r="H85" s="23"/>
      <c r="I85" s="103"/>
    </row>
    <row r="86" spans="1:9" x14ac:dyDescent="0.25">
      <c r="A86" s="8"/>
      <c r="B86" s="9"/>
      <c r="C86" s="10"/>
      <c r="D86" s="2"/>
      <c r="E86" s="70"/>
      <c r="F86" s="2"/>
      <c r="G86" s="25"/>
      <c r="H86" s="23"/>
      <c r="I86" s="103"/>
    </row>
    <row r="87" spans="1:9" x14ac:dyDescent="0.25">
      <c r="A87" s="8"/>
      <c r="B87" s="9"/>
      <c r="C87" s="10"/>
      <c r="D87" s="2"/>
      <c r="E87" s="70"/>
      <c r="F87" s="2"/>
      <c r="G87" s="25"/>
      <c r="H87" s="23"/>
      <c r="I87" s="103"/>
    </row>
    <row r="88" spans="1:9" x14ac:dyDescent="0.25">
      <c r="A88" s="8"/>
      <c r="B88" s="9"/>
      <c r="C88" s="10"/>
      <c r="D88" s="2"/>
      <c r="E88" s="70"/>
      <c r="F88" s="2"/>
      <c r="G88" s="25"/>
      <c r="H88" s="23"/>
      <c r="I88" s="103"/>
    </row>
    <row r="89" spans="1:9" x14ac:dyDescent="0.25">
      <c r="A89" s="8"/>
      <c r="B89" s="9"/>
      <c r="C89" s="10"/>
      <c r="D89" s="2"/>
      <c r="E89" s="70"/>
      <c r="F89" s="2"/>
      <c r="G89" s="25"/>
      <c r="H89" s="23"/>
      <c r="I89" s="103"/>
    </row>
    <row r="90" spans="1:9" x14ac:dyDescent="0.25">
      <c r="A90" s="8"/>
      <c r="B90" s="9"/>
      <c r="C90" s="10"/>
      <c r="D90" s="2"/>
      <c r="E90" s="70"/>
      <c r="F90" s="2"/>
      <c r="G90" s="25"/>
      <c r="H90" s="23"/>
      <c r="I90" s="103"/>
    </row>
    <row r="91" spans="1:9" x14ac:dyDescent="0.25">
      <c r="A91" s="8"/>
      <c r="B91" s="9"/>
      <c r="C91" s="10"/>
      <c r="D91" s="2"/>
      <c r="E91" s="70"/>
      <c r="F91" s="2"/>
      <c r="G91" s="25"/>
      <c r="H91" s="23"/>
      <c r="I91" s="103"/>
    </row>
    <row r="92" spans="1:9" x14ac:dyDescent="0.25">
      <c r="A92" s="8"/>
      <c r="B92" s="9"/>
      <c r="C92" s="10"/>
      <c r="D92" s="2"/>
      <c r="E92" s="70"/>
      <c r="F92" s="2"/>
      <c r="G92" s="25"/>
      <c r="H92" s="23"/>
      <c r="I92" s="103"/>
    </row>
    <row r="93" spans="1:9" x14ac:dyDescent="0.25">
      <c r="A93" s="8"/>
      <c r="B93" s="9"/>
      <c r="C93" s="10"/>
      <c r="D93" s="2"/>
      <c r="E93" s="70"/>
      <c r="F93" s="2"/>
      <c r="G93" s="25"/>
      <c r="H93" s="23"/>
      <c r="I93" s="103"/>
    </row>
    <row r="94" spans="1:9" x14ac:dyDescent="0.25">
      <c r="A94" s="8"/>
      <c r="B94" s="9"/>
      <c r="C94" s="10"/>
      <c r="D94" s="2"/>
      <c r="E94" s="70"/>
      <c r="F94" s="2"/>
      <c r="G94" s="25"/>
      <c r="H94" s="23"/>
      <c r="I94" s="103"/>
    </row>
    <row r="95" spans="1:9" x14ac:dyDescent="0.25">
      <c r="A95" s="8"/>
      <c r="B95" s="9"/>
      <c r="C95" s="10"/>
      <c r="D95" s="2"/>
      <c r="E95" s="70"/>
      <c r="F95" s="2"/>
      <c r="G95" s="25"/>
      <c r="H95" s="23"/>
      <c r="I95" s="103"/>
    </row>
    <row r="96" spans="1:9" x14ac:dyDescent="0.25">
      <c r="A96" s="8"/>
      <c r="B96" s="9"/>
      <c r="C96" s="10"/>
      <c r="D96" s="2"/>
      <c r="E96" s="70"/>
      <c r="F96" s="2"/>
      <c r="G96" s="25"/>
      <c r="H96" s="23"/>
      <c r="I96" s="103"/>
    </row>
    <row r="97" spans="1:9" x14ac:dyDescent="0.25">
      <c r="A97" s="8"/>
      <c r="B97" s="9"/>
      <c r="C97" s="10"/>
      <c r="D97" s="2"/>
      <c r="E97" s="70"/>
      <c r="F97" s="2"/>
      <c r="G97" s="25"/>
      <c r="H97" s="23"/>
      <c r="I97" s="103"/>
    </row>
    <row r="98" spans="1:9" x14ac:dyDescent="0.25">
      <c r="A98" s="8"/>
      <c r="B98" s="9"/>
      <c r="C98" s="10"/>
      <c r="D98" s="2"/>
      <c r="E98" s="70"/>
      <c r="F98" s="2"/>
      <c r="G98" s="25"/>
      <c r="H98" s="23"/>
      <c r="I98" s="103"/>
    </row>
    <row r="99" spans="1:9" x14ac:dyDescent="0.25">
      <c r="A99" s="8"/>
      <c r="B99" s="9"/>
      <c r="C99" s="10"/>
      <c r="D99" s="2"/>
      <c r="E99" s="70"/>
      <c r="F99" s="2"/>
      <c r="G99" s="25"/>
      <c r="H99" s="23"/>
      <c r="I99" s="103"/>
    </row>
    <row r="100" spans="1:9" x14ac:dyDescent="0.25">
      <c r="A100" s="8"/>
      <c r="B100" s="9"/>
      <c r="C100" s="10"/>
      <c r="D100" s="2"/>
      <c r="E100" s="70"/>
      <c r="F100" s="2"/>
      <c r="G100" s="25"/>
      <c r="H100" s="23"/>
      <c r="I100" s="103"/>
    </row>
    <row r="101" spans="1:9" x14ac:dyDescent="0.25">
      <c r="A101" s="8"/>
      <c r="B101" s="9"/>
      <c r="C101" s="10"/>
      <c r="D101" s="2"/>
      <c r="E101" s="70"/>
      <c r="F101" s="2"/>
      <c r="G101" s="25"/>
      <c r="H101" s="23"/>
      <c r="I101" s="103"/>
    </row>
    <row r="102" spans="1:9" x14ac:dyDescent="0.25">
      <c r="A102" s="8"/>
      <c r="B102" s="9"/>
      <c r="C102" s="10"/>
      <c r="D102" s="2"/>
      <c r="E102" s="70"/>
      <c r="F102" s="2"/>
      <c r="G102" s="25"/>
      <c r="H102" s="23"/>
      <c r="I102" s="103"/>
    </row>
    <row r="103" spans="1:9" x14ac:dyDescent="0.25">
      <c r="A103" s="8"/>
      <c r="B103" s="9"/>
      <c r="C103" s="10"/>
      <c r="D103" s="2"/>
      <c r="E103" s="70"/>
      <c r="F103" s="2"/>
      <c r="G103" s="25"/>
      <c r="H103" s="23"/>
      <c r="I103" s="103"/>
    </row>
    <row r="104" spans="1:9" x14ac:dyDescent="0.25">
      <c r="A104" s="8"/>
      <c r="B104" s="9"/>
      <c r="C104" s="10"/>
      <c r="D104" s="2"/>
      <c r="E104" s="70"/>
      <c r="F104" s="2"/>
      <c r="G104" s="25"/>
      <c r="H104" s="23"/>
      <c r="I104" s="103"/>
    </row>
    <row r="105" spans="1:9" x14ac:dyDescent="0.25">
      <c r="A105" s="8"/>
      <c r="B105" s="9"/>
      <c r="C105" s="10"/>
      <c r="D105" s="2"/>
      <c r="E105" s="70"/>
      <c r="F105" s="2"/>
      <c r="G105" s="25"/>
      <c r="H105" s="23"/>
      <c r="I105" s="103"/>
    </row>
    <row r="106" spans="1:9" x14ac:dyDescent="0.25">
      <c r="A106" s="8"/>
      <c r="B106" s="9"/>
      <c r="C106" s="10"/>
      <c r="D106" s="2"/>
      <c r="E106" s="70"/>
      <c r="F106" s="2"/>
      <c r="G106" s="25"/>
      <c r="H106" s="23"/>
      <c r="I106" s="103"/>
    </row>
    <row r="107" spans="1:9" x14ac:dyDescent="0.25">
      <c r="A107" s="8"/>
      <c r="B107" s="9"/>
      <c r="C107" s="10"/>
      <c r="D107" s="2"/>
      <c r="E107" s="70"/>
      <c r="F107" s="2"/>
      <c r="G107" s="25"/>
      <c r="H107" s="23"/>
      <c r="I107" s="103"/>
    </row>
    <row r="108" spans="1:9" x14ac:dyDescent="0.25">
      <c r="A108" s="8"/>
      <c r="B108" s="9"/>
      <c r="C108" s="10"/>
      <c r="D108" s="2"/>
      <c r="E108" s="70"/>
      <c r="F108" s="2"/>
      <c r="G108" s="25"/>
      <c r="H108" s="23"/>
      <c r="I108" s="103"/>
    </row>
    <row r="109" spans="1:9" x14ac:dyDescent="0.25">
      <c r="A109" s="8"/>
      <c r="B109" s="9"/>
      <c r="C109" s="10"/>
      <c r="D109" s="2"/>
      <c r="E109" s="70"/>
      <c r="F109" s="2"/>
      <c r="G109" s="25"/>
      <c r="H109" s="23"/>
      <c r="I109" s="103"/>
    </row>
    <row r="110" spans="1:9" x14ac:dyDescent="0.25">
      <c r="A110" s="8"/>
      <c r="B110" s="9"/>
      <c r="C110" s="10"/>
      <c r="D110" s="2"/>
      <c r="E110" s="70"/>
      <c r="F110" s="2"/>
      <c r="G110" s="25"/>
      <c r="H110" s="23"/>
      <c r="I110" s="103"/>
    </row>
    <row r="111" spans="1:9" x14ac:dyDescent="0.25">
      <c r="A111" s="8"/>
      <c r="B111" s="9"/>
      <c r="C111" s="10"/>
      <c r="D111" s="2"/>
      <c r="E111" s="70"/>
      <c r="F111" s="2"/>
      <c r="G111" s="25"/>
      <c r="H111" s="23"/>
      <c r="I111" s="103"/>
    </row>
    <row r="112" spans="1:9" x14ac:dyDescent="0.25">
      <c r="A112" s="8"/>
      <c r="B112" s="9"/>
      <c r="C112" s="10"/>
      <c r="D112" s="2"/>
      <c r="E112" s="70"/>
      <c r="F112" s="2"/>
      <c r="G112" s="25"/>
      <c r="H112" s="23"/>
      <c r="I112" s="103"/>
    </row>
    <row r="113" spans="1:9" x14ac:dyDescent="0.25">
      <c r="A113" s="8"/>
      <c r="B113" s="9"/>
      <c r="C113" s="10"/>
      <c r="D113" s="2"/>
      <c r="E113" s="70"/>
      <c r="F113" s="2"/>
      <c r="G113" s="25"/>
      <c r="H113" s="23"/>
      <c r="I113" s="103"/>
    </row>
    <row r="114" spans="1:9" x14ac:dyDescent="0.25">
      <c r="A114" s="8"/>
      <c r="B114" s="9"/>
      <c r="C114" s="10"/>
      <c r="D114" s="2"/>
      <c r="E114" s="70"/>
      <c r="F114" s="2"/>
      <c r="G114" s="25"/>
      <c r="H114" s="23"/>
      <c r="I114" s="103"/>
    </row>
    <row r="115" spans="1:9" x14ac:dyDescent="0.25">
      <c r="A115" s="8"/>
      <c r="B115" s="9"/>
      <c r="C115" s="10"/>
      <c r="D115" s="2"/>
      <c r="E115" s="70"/>
      <c r="F115" s="2"/>
      <c r="G115" s="25"/>
      <c r="H115" s="23"/>
      <c r="I115" s="103"/>
    </row>
    <row r="116" spans="1:9" x14ac:dyDescent="0.25">
      <c r="A116" s="8"/>
      <c r="B116" s="9"/>
      <c r="C116" s="10"/>
      <c r="D116" s="2"/>
      <c r="E116" s="70"/>
      <c r="F116" s="2"/>
      <c r="G116" s="25"/>
      <c r="H116" s="23"/>
      <c r="I116" s="103"/>
    </row>
    <row r="117" spans="1:9" x14ac:dyDescent="0.25">
      <c r="A117" s="8"/>
      <c r="B117" s="9"/>
      <c r="C117" s="10"/>
      <c r="D117" s="2"/>
      <c r="E117" s="70"/>
      <c r="F117" s="2"/>
      <c r="G117" s="25"/>
      <c r="H117" s="23"/>
      <c r="I117" s="103"/>
    </row>
    <row r="118" spans="1:9" x14ac:dyDescent="0.25">
      <c r="A118" s="8"/>
      <c r="B118" s="9"/>
      <c r="C118" s="10"/>
      <c r="D118" s="2"/>
      <c r="E118" s="70"/>
      <c r="F118" s="2"/>
      <c r="G118" s="25"/>
      <c r="H118" s="23"/>
      <c r="I118" s="103"/>
    </row>
    <row r="119" spans="1:9" x14ac:dyDescent="0.25">
      <c r="A119" s="8"/>
      <c r="B119" s="9"/>
      <c r="C119" s="10"/>
      <c r="D119" s="2"/>
      <c r="E119" s="70"/>
      <c r="F119" s="2"/>
      <c r="G119" s="25"/>
      <c r="H119" s="23"/>
      <c r="I119" s="103"/>
    </row>
    <row r="120" spans="1:9" x14ac:dyDescent="0.25">
      <c r="A120" s="8"/>
      <c r="B120" s="9"/>
      <c r="C120" s="10"/>
      <c r="D120" s="2"/>
      <c r="E120" s="70"/>
      <c r="F120" s="2"/>
      <c r="G120" s="25"/>
      <c r="H120" s="23"/>
      <c r="I120" s="103"/>
    </row>
    <row r="121" spans="1:9" x14ac:dyDescent="0.25">
      <c r="A121" s="8"/>
      <c r="B121" s="9"/>
      <c r="C121" s="10"/>
      <c r="D121" s="2"/>
      <c r="E121" s="70"/>
      <c r="F121" s="2"/>
      <c r="G121" s="25"/>
      <c r="H121" s="23"/>
      <c r="I121" s="103"/>
    </row>
    <row r="122" spans="1:9" x14ac:dyDescent="0.25">
      <c r="A122" s="8"/>
      <c r="B122" s="9"/>
      <c r="C122" s="10"/>
      <c r="D122" s="2"/>
      <c r="E122" s="70"/>
      <c r="F122" s="2"/>
      <c r="G122" s="25"/>
      <c r="H122" s="23"/>
      <c r="I122" s="103"/>
    </row>
    <row r="123" spans="1:9" x14ac:dyDescent="0.25">
      <c r="A123" s="8"/>
      <c r="B123" s="9"/>
      <c r="C123" s="10"/>
      <c r="D123" s="2"/>
      <c r="E123" s="70"/>
      <c r="F123" s="2"/>
      <c r="G123" s="25"/>
      <c r="H123" s="23"/>
      <c r="I123" s="103"/>
    </row>
    <row r="124" spans="1:9" x14ac:dyDescent="0.25">
      <c r="A124" s="8"/>
      <c r="B124" s="9"/>
      <c r="C124" s="10"/>
      <c r="D124" s="2"/>
      <c r="E124" s="70"/>
      <c r="F124" s="2"/>
      <c r="G124" s="25"/>
      <c r="H124" s="23"/>
      <c r="I124" s="103"/>
    </row>
    <row r="125" spans="1:9" x14ac:dyDescent="0.25">
      <c r="A125" s="8"/>
      <c r="B125" s="9"/>
      <c r="C125" s="10"/>
      <c r="D125" s="2"/>
      <c r="E125" s="70"/>
      <c r="F125" s="2"/>
      <c r="G125" s="25"/>
      <c r="H125" s="23"/>
      <c r="I125" s="103"/>
    </row>
    <row r="126" spans="1:9" x14ac:dyDescent="0.25">
      <c r="A126" s="8"/>
      <c r="B126" s="9"/>
      <c r="C126" s="10"/>
      <c r="D126" s="2"/>
      <c r="E126" s="70"/>
      <c r="F126" s="2"/>
      <c r="G126" s="25"/>
      <c r="H126" s="23"/>
      <c r="I126" s="103"/>
    </row>
    <row r="127" spans="1:9" x14ac:dyDescent="0.25">
      <c r="A127" s="8"/>
      <c r="B127" s="9"/>
      <c r="C127" s="10"/>
      <c r="D127" s="2"/>
      <c r="E127" s="70"/>
      <c r="F127" s="2"/>
      <c r="G127" s="25"/>
      <c r="H127" s="23"/>
      <c r="I127" s="103"/>
    </row>
    <row r="128" spans="1:9" x14ac:dyDescent="0.25">
      <c r="A128" s="8"/>
      <c r="B128" s="9"/>
      <c r="C128" s="10"/>
      <c r="D128" s="2"/>
      <c r="E128" s="70"/>
      <c r="F128" s="2"/>
      <c r="G128" s="25"/>
      <c r="H128" s="23"/>
      <c r="I128" s="103"/>
    </row>
    <row r="129" spans="1:9" x14ac:dyDescent="0.25">
      <c r="A129" s="8"/>
      <c r="B129" s="9"/>
      <c r="C129" s="10"/>
      <c r="D129" s="2"/>
      <c r="E129" s="70"/>
      <c r="F129" s="2"/>
      <c r="G129" s="25"/>
      <c r="H129" s="23"/>
      <c r="I129" s="103"/>
    </row>
    <row r="130" spans="1:9" x14ac:dyDescent="0.25">
      <c r="A130" s="8"/>
      <c r="B130" s="9"/>
      <c r="C130" s="10"/>
      <c r="D130" s="2"/>
      <c r="E130" s="70"/>
      <c r="F130" s="2"/>
      <c r="G130" s="25"/>
      <c r="H130" s="23"/>
      <c r="I130" s="103"/>
    </row>
    <row r="131" spans="1:9" x14ac:dyDescent="0.25">
      <c r="A131" s="8"/>
      <c r="B131" s="9"/>
      <c r="C131" s="10"/>
      <c r="D131" s="2"/>
      <c r="E131" s="70"/>
      <c r="F131" s="2"/>
      <c r="G131" s="25"/>
      <c r="H131" s="23"/>
      <c r="I131" s="103"/>
    </row>
    <row r="132" spans="1:9" x14ac:dyDescent="0.25">
      <c r="A132" s="8"/>
      <c r="B132" s="9"/>
      <c r="C132" s="10"/>
      <c r="D132" s="2"/>
      <c r="E132" s="70"/>
      <c r="F132" s="2"/>
      <c r="G132" s="25"/>
      <c r="H132" s="23"/>
      <c r="I132" s="103"/>
    </row>
    <row r="133" spans="1:9" x14ac:dyDescent="0.25">
      <c r="A133" s="8"/>
      <c r="B133" s="9"/>
      <c r="C133" s="10"/>
      <c r="D133" s="2"/>
      <c r="E133" s="70"/>
      <c r="F133" s="2"/>
      <c r="G133" s="25"/>
      <c r="H133" s="23"/>
      <c r="I133" s="103"/>
    </row>
    <row r="134" spans="1:9" x14ac:dyDescent="0.25">
      <c r="A134" s="8"/>
      <c r="B134" s="9"/>
      <c r="C134" s="10"/>
      <c r="D134" s="2"/>
      <c r="E134" s="70"/>
      <c r="F134" s="2"/>
      <c r="G134" s="25"/>
      <c r="H134" s="23"/>
      <c r="I134" s="103"/>
    </row>
    <row r="135" spans="1:9" x14ac:dyDescent="0.25">
      <c r="A135" s="8"/>
      <c r="B135" s="9"/>
      <c r="C135" s="10"/>
      <c r="D135" s="2"/>
      <c r="E135" s="70"/>
      <c r="F135" s="2"/>
      <c r="G135" s="25"/>
      <c r="H135" s="23"/>
      <c r="I135" s="103"/>
    </row>
    <row r="136" spans="1:9" x14ac:dyDescent="0.25">
      <c r="A136" s="8"/>
      <c r="B136" s="9"/>
      <c r="C136" s="10"/>
      <c r="D136" s="2"/>
      <c r="E136" s="70"/>
      <c r="F136" s="2"/>
      <c r="G136" s="25"/>
      <c r="H136" s="23"/>
      <c r="I136" s="103"/>
    </row>
    <row r="137" spans="1:9" x14ac:dyDescent="0.25">
      <c r="A137" s="8"/>
      <c r="B137" s="9"/>
      <c r="C137" s="10"/>
      <c r="D137" s="2"/>
      <c r="E137" s="70"/>
      <c r="F137" s="2"/>
      <c r="G137" s="25"/>
      <c r="H137" s="23"/>
      <c r="I137" s="103"/>
    </row>
    <row r="138" spans="1:9" x14ac:dyDescent="0.25">
      <c r="A138" s="8"/>
      <c r="B138" s="9"/>
      <c r="C138" s="10"/>
      <c r="D138" s="2"/>
      <c r="E138" s="70"/>
      <c r="F138" s="2"/>
      <c r="G138" s="25"/>
      <c r="H138" s="23"/>
      <c r="I138" s="103"/>
    </row>
    <row r="139" spans="1:9" x14ac:dyDescent="0.25">
      <c r="A139" s="8"/>
      <c r="B139" s="9"/>
      <c r="C139" s="10"/>
      <c r="D139" s="2"/>
      <c r="E139" s="70"/>
      <c r="F139" s="2"/>
      <c r="G139" s="25"/>
      <c r="H139" s="23"/>
      <c r="I139" s="103"/>
    </row>
    <row r="140" spans="1:9" x14ac:dyDescent="0.25">
      <c r="A140" s="8"/>
      <c r="B140" s="9"/>
      <c r="C140" s="10"/>
      <c r="D140" s="2"/>
      <c r="E140" s="70"/>
      <c r="F140" s="2"/>
      <c r="G140" s="25"/>
      <c r="H140" s="23"/>
      <c r="I140" s="103"/>
    </row>
    <row r="141" spans="1:9" x14ac:dyDescent="0.25">
      <c r="A141" s="8"/>
      <c r="B141" s="9"/>
      <c r="C141" s="10"/>
      <c r="D141" s="2"/>
      <c r="E141" s="70"/>
      <c r="F141" s="2"/>
      <c r="G141" s="25"/>
      <c r="H141" s="23"/>
      <c r="I141" s="103"/>
    </row>
    <row r="142" spans="1:9" x14ac:dyDescent="0.25">
      <c r="A142" s="8"/>
      <c r="B142" s="9"/>
      <c r="C142" s="10"/>
      <c r="D142" s="2"/>
      <c r="E142" s="70"/>
      <c r="F142" s="2"/>
      <c r="G142" s="25"/>
      <c r="H142" s="23"/>
      <c r="I142" s="103"/>
    </row>
    <row r="143" spans="1:9" x14ac:dyDescent="0.25">
      <c r="A143" s="8"/>
      <c r="B143" s="9"/>
      <c r="C143" s="10"/>
      <c r="D143" s="2"/>
      <c r="E143" s="70"/>
      <c r="F143" s="2"/>
      <c r="G143" s="25"/>
      <c r="H143" s="23"/>
      <c r="I143" s="103"/>
    </row>
    <row r="144" spans="1:9" x14ac:dyDescent="0.25">
      <c r="A144" s="8"/>
      <c r="B144" s="9"/>
      <c r="C144" s="10"/>
      <c r="D144" s="2"/>
      <c r="E144" s="70"/>
      <c r="F144" s="2"/>
      <c r="G144" s="25"/>
      <c r="H144" s="23"/>
      <c r="I144" s="103"/>
    </row>
    <row r="145" spans="1:9" x14ac:dyDescent="0.25">
      <c r="A145" s="8"/>
      <c r="B145" s="9"/>
      <c r="C145" s="10"/>
      <c r="D145" s="2"/>
      <c r="E145" s="70"/>
      <c r="F145" s="2"/>
      <c r="G145" s="25"/>
      <c r="H145" s="23"/>
      <c r="I145" s="103"/>
    </row>
    <row r="146" spans="1:9" x14ac:dyDescent="0.25">
      <c r="A146" s="8"/>
      <c r="B146" s="9"/>
      <c r="C146" s="10"/>
      <c r="D146" s="2"/>
      <c r="E146" s="70"/>
      <c r="F146" s="2"/>
      <c r="G146" s="25"/>
      <c r="H146" s="23"/>
      <c r="I146" s="103"/>
    </row>
    <row r="147" spans="1:9" x14ac:dyDescent="0.25">
      <c r="A147" s="8"/>
      <c r="B147" s="9"/>
      <c r="C147" s="10"/>
      <c r="D147" s="2"/>
      <c r="E147" s="70"/>
      <c r="F147" s="2"/>
      <c r="G147" s="25"/>
      <c r="H147" s="23"/>
      <c r="I147" s="103"/>
    </row>
    <row r="148" spans="1:9" x14ac:dyDescent="0.25">
      <c r="A148" s="8"/>
      <c r="B148" s="9"/>
      <c r="C148" s="10"/>
      <c r="D148" s="2"/>
      <c r="E148" s="70"/>
      <c r="F148" s="2"/>
      <c r="G148" s="25"/>
      <c r="H148" s="23"/>
      <c r="I148" s="103"/>
    </row>
    <row r="149" spans="1:9" x14ac:dyDescent="0.25">
      <c r="A149" s="8"/>
      <c r="B149" s="9"/>
      <c r="C149" s="10"/>
      <c r="D149" s="2"/>
      <c r="E149" s="70"/>
      <c r="F149" s="2"/>
      <c r="G149" s="25"/>
      <c r="H149" s="23"/>
      <c r="I149" s="103"/>
    </row>
    <row r="150" spans="1:9" x14ac:dyDescent="0.25">
      <c r="A150" s="8"/>
      <c r="B150" s="9"/>
      <c r="C150" s="10"/>
      <c r="D150" s="2"/>
      <c r="E150" s="70"/>
      <c r="F150" s="2"/>
      <c r="G150" s="25"/>
      <c r="H150" s="23"/>
      <c r="I150" s="103"/>
    </row>
    <row r="151" spans="1:9" x14ac:dyDescent="0.25">
      <c r="A151" s="8"/>
      <c r="B151" s="9"/>
      <c r="C151" s="10"/>
      <c r="D151" s="2"/>
      <c r="E151" s="70"/>
      <c r="F151" s="2"/>
      <c r="G151" s="25"/>
      <c r="H151" s="23"/>
      <c r="I151" s="103"/>
    </row>
    <row r="152" spans="1:9" x14ac:dyDescent="0.25">
      <c r="A152" s="8"/>
      <c r="B152" s="9"/>
      <c r="C152" s="10"/>
      <c r="D152" s="2"/>
      <c r="E152" s="70"/>
      <c r="F152" s="2"/>
      <c r="G152" s="25"/>
      <c r="H152" s="23"/>
      <c r="I152" s="103"/>
    </row>
    <row r="153" spans="1:9" x14ac:dyDescent="0.25">
      <c r="A153" s="8"/>
      <c r="B153" s="9"/>
      <c r="C153" s="10"/>
      <c r="D153" s="2"/>
      <c r="E153" s="70"/>
      <c r="F153" s="2"/>
      <c r="G153" s="25"/>
      <c r="H153" s="23"/>
      <c r="I153" s="103"/>
    </row>
    <row r="154" spans="1:9" x14ac:dyDescent="0.25">
      <c r="A154" s="8"/>
      <c r="B154" s="9"/>
      <c r="C154" s="10"/>
      <c r="D154" s="2"/>
      <c r="E154" s="70"/>
      <c r="F154" s="2"/>
      <c r="G154" s="25"/>
      <c r="H154" s="23"/>
      <c r="I154" s="103"/>
    </row>
    <row r="155" spans="1:9" x14ac:dyDescent="0.25">
      <c r="A155" s="8"/>
      <c r="B155" s="9"/>
      <c r="C155" s="10"/>
      <c r="D155" s="2"/>
      <c r="E155" s="70"/>
      <c r="F155" s="2"/>
      <c r="G155" s="25"/>
      <c r="H155" s="23"/>
      <c r="I155" s="103"/>
    </row>
    <row r="156" spans="1:9" x14ac:dyDescent="0.25">
      <c r="A156" s="8"/>
      <c r="B156" s="9"/>
      <c r="C156" s="10"/>
      <c r="D156" s="2"/>
      <c r="E156" s="70"/>
      <c r="F156" s="2"/>
      <c r="G156" s="25"/>
      <c r="H156" s="23"/>
      <c r="I156" s="103"/>
    </row>
    <row r="157" spans="1:9" x14ac:dyDescent="0.25">
      <c r="A157" s="8"/>
      <c r="B157" s="9"/>
      <c r="C157" s="10"/>
      <c r="D157" s="2"/>
      <c r="E157" s="70"/>
      <c r="F157" s="2"/>
      <c r="G157" s="25"/>
      <c r="H157" s="23"/>
      <c r="I157" s="103"/>
    </row>
    <row r="158" spans="1:9" x14ac:dyDescent="0.25">
      <c r="A158" s="8"/>
      <c r="B158" s="9"/>
      <c r="C158" s="10"/>
      <c r="D158" s="2"/>
      <c r="E158" s="70"/>
      <c r="F158" s="2"/>
      <c r="G158" s="25"/>
      <c r="H158" s="23"/>
      <c r="I158" s="103"/>
    </row>
    <row r="159" spans="1:9" x14ac:dyDescent="0.25">
      <c r="A159" s="8"/>
      <c r="B159" s="9"/>
      <c r="C159" s="10"/>
      <c r="D159" s="2"/>
      <c r="E159" s="70"/>
      <c r="F159" s="2"/>
      <c r="G159" s="25"/>
      <c r="H159" s="23"/>
      <c r="I159" s="103"/>
    </row>
    <row r="160" spans="1:9" x14ac:dyDescent="0.25">
      <c r="A160" s="8"/>
      <c r="B160" s="9"/>
      <c r="C160" s="10"/>
      <c r="D160" s="2"/>
      <c r="E160" s="70"/>
      <c r="F160" s="2"/>
      <c r="G160" s="25"/>
      <c r="H160" s="23"/>
      <c r="I160" s="103"/>
    </row>
    <row r="161" spans="1:9" x14ac:dyDescent="0.25">
      <c r="A161" s="8"/>
      <c r="B161" s="9"/>
      <c r="C161" s="10"/>
      <c r="D161" s="2"/>
      <c r="E161" s="70"/>
      <c r="F161" s="2"/>
      <c r="G161" s="25"/>
      <c r="H161" s="23"/>
      <c r="I161" s="103"/>
    </row>
    <row r="162" spans="1:9" x14ac:dyDescent="0.25">
      <c r="A162" s="8"/>
      <c r="B162" s="9"/>
      <c r="C162" s="10"/>
      <c r="D162" s="2"/>
      <c r="E162" s="70"/>
      <c r="F162" s="2"/>
      <c r="G162" s="25"/>
      <c r="H162" s="23"/>
      <c r="I162" s="103"/>
    </row>
    <row r="163" spans="1:9" x14ac:dyDescent="0.25">
      <c r="A163" s="8"/>
      <c r="B163" s="9"/>
      <c r="C163" s="10"/>
      <c r="D163" s="2"/>
      <c r="E163" s="70"/>
      <c r="F163" s="2"/>
      <c r="G163" s="25"/>
      <c r="H163" s="23"/>
      <c r="I163" s="103"/>
    </row>
    <row r="164" spans="1:9" x14ac:dyDescent="0.25">
      <c r="A164" s="8"/>
      <c r="B164" s="9"/>
      <c r="C164" s="10"/>
      <c r="D164" s="2"/>
      <c r="E164" s="70"/>
      <c r="F164" s="2"/>
      <c r="G164" s="25"/>
      <c r="H164" s="23"/>
      <c r="I164" s="103"/>
    </row>
    <row r="165" spans="1:9" x14ac:dyDescent="0.25">
      <c r="A165" s="8"/>
      <c r="B165" s="9"/>
      <c r="C165" s="10"/>
      <c r="D165" s="2"/>
      <c r="E165" s="70"/>
      <c r="F165" s="2"/>
      <c r="G165" s="25"/>
      <c r="H165" s="23"/>
      <c r="I165" s="103"/>
    </row>
    <row r="166" spans="1:9" x14ac:dyDescent="0.25">
      <c r="A166" s="8"/>
      <c r="B166" s="9"/>
      <c r="C166" s="10"/>
      <c r="D166" s="2"/>
      <c r="E166" s="70"/>
      <c r="F166" s="2"/>
      <c r="G166" s="25"/>
      <c r="H166" s="23"/>
      <c r="I166" s="103"/>
    </row>
    <row r="167" spans="1:9" x14ac:dyDescent="0.25">
      <c r="A167" s="8"/>
      <c r="B167" s="9"/>
      <c r="C167" s="10"/>
      <c r="D167" s="2"/>
      <c r="E167" s="70"/>
      <c r="F167" s="2"/>
      <c r="G167" s="25"/>
      <c r="H167" s="23"/>
      <c r="I167" s="103"/>
    </row>
    <row r="168" spans="1:9" x14ac:dyDescent="0.25">
      <c r="A168" s="8"/>
      <c r="B168" s="9"/>
      <c r="C168" s="10"/>
      <c r="D168" s="2"/>
      <c r="E168" s="70"/>
      <c r="F168" s="2"/>
      <c r="G168" s="25"/>
      <c r="H168" s="23"/>
      <c r="I168" s="103"/>
    </row>
    <row r="169" spans="1:9" x14ac:dyDescent="0.25">
      <c r="A169" s="8"/>
      <c r="B169" s="9"/>
      <c r="C169" s="10"/>
      <c r="D169" s="2"/>
      <c r="E169" s="70"/>
      <c r="F169" s="2"/>
      <c r="G169" s="25"/>
      <c r="H169" s="23"/>
      <c r="I169" s="103"/>
    </row>
    <row r="170" spans="1:9" x14ac:dyDescent="0.25">
      <c r="A170" s="8"/>
      <c r="B170" s="9"/>
      <c r="C170" s="10"/>
      <c r="D170" s="2"/>
      <c r="E170" s="70"/>
      <c r="F170" s="2"/>
      <c r="G170" s="25"/>
      <c r="H170" s="23"/>
      <c r="I170" s="103"/>
    </row>
    <row r="171" spans="1:9" x14ac:dyDescent="0.25">
      <c r="A171" s="8"/>
      <c r="B171" s="9"/>
      <c r="C171" s="10"/>
      <c r="D171" s="2"/>
      <c r="E171" s="70"/>
      <c r="F171" s="2"/>
      <c r="G171" s="25"/>
      <c r="H171" s="23"/>
      <c r="I171" s="103"/>
    </row>
    <row r="172" spans="1:9" x14ac:dyDescent="0.25">
      <c r="A172" s="8"/>
      <c r="B172" s="9"/>
      <c r="C172" s="10"/>
      <c r="D172" s="2"/>
      <c r="E172" s="70"/>
      <c r="F172" s="2"/>
      <c r="G172" s="25"/>
      <c r="H172" s="23"/>
      <c r="I172" s="103"/>
    </row>
    <row r="173" spans="1:9" x14ac:dyDescent="0.25">
      <c r="A173" s="8"/>
      <c r="B173" s="9"/>
      <c r="C173" s="10"/>
      <c r="D173" s="2"/>
      <c r="E173" s="70"/>
      <c r="F173" s="2"/>
      <c r="G173" s="25"/>
      <c r="H173" s="23"/>
      <c r="I173" s="103"/>
    </row>
    <row r="174" spans="1:9" x14ac:dyDescent="0.25">
      <c r="A174" s="8"/>
      <c r="B174" s="9"/>
      <c r="C174" s="10"/>
      <c r="D174" s="2"/>
      <c r="E174" s="70"/>
      <c r="F174" s="2"/>
      <c r="G174" s="25"/>
      <c r="H174" s="23"/>
      <c r="I174" s="103"/>
    </row>
    <row r="175" spans="1:9" x14ac:dyDescent="0.25">
      <c r="A175" s="8"/>
      <c r="B175" s="9"/>
      <c r="C175" s="10"/>
      <c r="D175" s="2"/>
      <c r="E175" s="70"/>
      <c r="F175" s="2"/>
      <c r="G175" s="25"/>
      <c r="H175" s="23"/>
      <c r="I175" s="103"/>
    </row>
    <row r="176" spans="1:9" x14ac:dyDescent="0.25">
      <c r="A176" s="8"/>
      <c r="B176" s="9"/>
      <c r="C176" s="10"/>
      <c r="D176" s="2"/>
      <c r="E176" s="70"/>
      <c r="F176" s="2"/>
      <c r="G176" s="25"/>
      <c r="H176" s="23"/>
      <c r="I176" s="103"/>
    </row>
    <row r="177" spans="1:9" x14ac:dyDescent="0.25">
      <c r="A177" s="8"/>
      <c r="B177" s="9"/>
      <c r="C177" s="10"/>
      <c r="D177" s="2"/>
      <c r="E177" s="70"/>
      <c r="F177" s="2"/>
      <c r="G177" s="25"/>
      <c r="H177" s="23"/>
      <c r="I177" s="103"/>
    </row>
    <row r="178" spans="1:9" x14ac:dyDescent="0.25">
      <c r="A178" s="8"/>
      <c r="B178" s="9"/>
      <c r="C178" s="10"/>
      <c r="D178" s="2"/>
      <c r="E178" s="70"/>
      <c r="F178" s="2"/>
      <c r="G178" s="25"/>
      <c r="H178" s="23"/>
      <c r="I178" s="103"/>
    </row>
    <row r="179" spans="1:9" x14ac:dyDescent="0.25">
      <c r="A179" s="8"/>
      <c r="B179" s="9"/>
      <c r="C179" s="10"/>
      <c r="D179" s="2"/>
      <c r="E179" s="70"/>
      <c r="F179" s="2"/>
      <c r="G179" s="25"/>
      <c r="H179" s="23"/>
      <c r="I179" s="103"/>
    </row>
    <row r="180" spans="1:9" x14ac:dyDescent="0.25">
      <c r="A180" s="8"/>
      <c r="B180" s="9"/>
      <c r="C180" s="10"/>
      <c r="D180" s="2"/>
      <c r="E180" s="70"/>
      <c r="F180" s="2"/>
      <c r="G180" s="25"/>
      <c r="H180" s="23"/>
      <c r="I180" s="103"/>
    </row>
    <row r="181" spans="1:9" x14ac:dyDescent="0.25">
      <c r="A181" s="8"/>
      <c r="B181" s="9"/>
      <c r="C181" s="10"/>
      <c r="D181" s="2"/>
      <c r="E181" s="70"/>
      <c r="F181" s="2"/>
      <c r="G181" s="25"/>
      <c r="H181" s="23"/>
      <c r="I181" s="103"/>
    </row>
    <row r="182" spans="1:9" x14ac:dyDescent="0.25">
      <c r="A182" s="8"/>
      <c r="B182" s="9"/>
      <c r="C182" s="10"/>
      <c r="D182" s="2"/>
      <c r="E182" s="70"/>
      <c r="F182" s="2"/>
      <c r="G182" s="25"/>
      <c r="H182" s="23"/>
      <c r="I182" s="103"/>
    </row>
    <row r="183" spans="1:9" x14ac:dyDescent="0.25">
      <c r="A183" s="8"/>
      <c r="B183" s="9"/>
      <c r="C183" s="10"/>
      <c r="D183" s="2"/>
      <c r="E183" s="70"/>
      <c r="F183" s="2"/>
      <c r="G183" s="25"/>
      <c r="H183" s="23"/>
      <c r="I183" s="103"/>
    </row>
    <row r="184" spans="1:9" x14ac:dyDescent="0.25">
      <c r="A184" s="8"/>
      <c r="B184" s="9"/>
      <c r="C184" s="10"/>
      <c r="D184" s="2"/>
      <c r="E184" s="70"/>
      <c r="F184" s="2"/>
      <c r="G184" s="25"/>
      <c r="H184" s="23"/>
      <c r="I184" s="103"/>
    </row>
    <row r="185" spans="1:9" x14ac:dyDescent="0.25">
      <c r="A185" s="8"/>
      <c r="B185" s="9"/>
      <c r="C185" s="10"/>
      <c r="D185" s="2"/>
      <c r="E185" s="70"/>
      <c r="F185" s="2"/>
      <c r="G185" s="25"/>
      <c r="H185" s="23"/>
      <c r="I185" s="103"/>
    </row>
    <row r="186" spans="1:9" x14ac:dyDescent="0.25">
      <c r="A186" s="8"/>
      <c r="B186" s="9"/>
      <c r="C186" s="10"/>
      <c r="D186" s="2"/>
      <c r="E186" s="70"/>
      <c r="F186" s="2"/>
      <c r="G186" s="25"/>
      <c r="H186" s="23"/>
      <c r="I186" s="103"/>
    </row>
    <row r="187" spans="1:9" x14ac:dyDescent="0.25">
      <c r="A187" s="8"/>
      <c r="B187" s="9"/>
      <c r="C187" s="10"/>
      <c r="D187" s="2"/>
      <c r="E187" s="70"/>
      <c r="F187" s="2"/>
      <c r="G187" s="25"/>
      <c r="H187" s="23"/>
      <c r="I187" s="103"/>
    </row>
    <row r="188" spans="1:9" x14ac:dyDescent="0.25">
      <c r="A188" s="8"/>
      <c r="B188" s="9"/>
      <c r="C188" s="10"/>
      <c r="D188" s="2"/>
      <c r="E188" s="70"/>
      <c r="F188" s="2"/>
      <c r="G188" s="25"/>
      <c r="H188" s="23"/>
      <c r="I188" s="103"/>
    </row>
    <row r="189" spans="1:9" x14ac:dyDescent="0.25">
      <c r="A189" s="8"/>
      <c r="B189" s="9"/>
      <c r="C189" s="10"/>
      <c r="D189" s="2"/>
      <c r="E189" s="70"/>
      <c r="F189" s="2"/>
      <c r="G189" s="25"/>
      <c r="H189" s="23"/>
      <c r="I189" s="103"/>
    </row>
    <row r="190" spans="1:9" x14ac:dyDescent="0.25">
      <c r="A190" s="8"/>
      <c r="B190" s="9"/>
      <c r="C190" s="10"/>
      <c r="D190" s="2"/>
      <c r="E190" s="70"/>
      <c r="F190" s="2"/>
      <c r="G190" s="25"/>
      <c r="H190" s="23"/>
      <c r="I190" s="103"/>
    </row>
    <row r="191" spans="1:9" x14ac:dyDescent="0.25">
      <c r="A191" s="8"/>
      <c r="B191" s="9"/>
      <c r="C191" s="10"/>
      <c r="D191" s="2"/>
      <c r="E191" s="70"/>
      <c r="F191" s="2"/>
      <c r="G191" s="25"/>
      <c r="H191" s="23"/>
      <c r="I191" s="103"/>
    </row>
    <row r="192" spans="1:9" x14ac:dyDescent="0.25">
      <c r="A192" s="8"/>
      <c r="B192" s="9"/>
      <c r="C192" s="10"/>
      <c r="D192" s="2"/>
      <c r="E192" s="70"/>
      <c r="F192" s="2"/>
      <c r="G192" s="25"/>
      <c r="H192" s="23"/>
      <c r="I192" s="103"/>
    </row>
    <row r="193" spans="1:9" x14ac:dyDescent="0.25">
      <c r="A193" s="8"/>
      <c r="B193" s="9"/>
      <c r="C193" s="10"/>
      <c r="D193" s="2"/>
      <c r="E193" s="70"/>
      <c r="F193" s="2"/>
      <c r="G193" s="25"/>
      <c r="H193" s="23"/>
      <c r="I193" s="103"/>
    </row>
    <row r="194" spans="1:9" x14ac:dyDescent="0.25">
      <c r="A194" s="8"/>
      <c r="B194" s="9"/>
      <c r="C194" s="10"/>
      <c r="D194" s="2"/>
      <c r="E194" s="70"/>
      <c r="F194" s="2"/>
      <c r="G194" s="25"/>
      <c r="H194" s="23"/>
      <c r="I194" s="103"/>
    </row>
    <row r="195" spans="1:9" x14ac:dyDescent="0.25">
      <c r="A195" s="8"/>
      <c r="B195" s="9"/>
      <c r="C195" s="10"/>
      <c r="D195" s="2"/>
      <c r="E195" s="70"/>
      <c r="F195" s="2"/>
      <c r="G195" s="25"/>
      <c r="H195" s="23"/>
      <c r="I195" s="103"/>
    </row>
    <row r="196" spans="1:9" x14ac:dyDescent="0.25">
      <c r="A196" s="8"/>
      <c r="B196" s="9"/>
      <c r="C196" s="10"/>
      <c r="D196" s="2"/>
      <c r="E196" s="70"/>
      <c r="F196" s="2"/>
      <c r="G196" s="25"/>
      <c r="H196" s="23"/>
      <c r="I196" s="103"/>
    </row>
    <row r="197" spans="1:9" x14ac:dyDescent="0.25">
      <c r="A197" s="8"/>
      <c r="B197" s="9"/>
      <c r="C197" s="10"/>
      <c r="D197" s="2"/>
      <c r="E197" s="70"/>
      <c r="F197" s="2"/>
      <c r="G197" s="25"/>
      <c r="H197" s="23"/>
      <c r="I197" s="103"/>
    </row>
    <row r="198" spans="1:9" x14ac:dyDescent="0.25">
      <c r="A198" s="8"/>
      <c r="B198" s="9"/>
      <c r="C198" s="10"/>
      <c r="D198" s="2"/>
      <c r="E198" s="70"/>
      <c r="F198" s="2"/>
      <c r="G198" s="25"/>
      <c r="H198" s="23"/>
      <c r="I198" s="103"/>
    </row>
    <row r="199" spans="1:9" x14ac:dyDescent="0.25">
      <c r="A199" s="8"/>
      <c r="B199" s="9"/>
      <c r="C199" s="10"/>
      <c r="D199" s="2"/>
      <c r="E199" s="70"/>
      <c r="F199" s="2"/>
      <c r="G199" s="25"/>
      <c r="H199" s="23"/>
      <c r="I199" s="103"/>
    </row>
    <row r="200" spans="1:9" x14ac:dyDescent="0.25">
      <c r="A200" s="8"/>
      <c r="B200" s="9"/>
      <c r="C200" s="10"/>
      <c r="D200" s="2"/>
      <c r="E200" s="70"/>
      <c r="F200" s="2"/>
      <c r="G200" s="25"/>
      <c r="H200" s="23"/>
      <c r="I200" s="103"/>
    </row>
    <row r="201" spans="1:9" x14ac:dyDescent="0.25">
      <c r="A201" s="8"/>
      <c r="B201" s="9"/>
      <c r="C201" s="10"/>
      <c r="D201" s="2"/>
      <c r="E201" s="70"/>
      <c r="F201" s="2"/>
      <c r="G201" s="25"/>
      <c r="H201" s="23"/>
      <c r="I201" s="103"/>
    </row>
    <row r="202" spans="1:9" x14ac:dyDescent="0.25">
      <c r="A202" s="8"/>
      <c r="B202" s="9"/>
      <c r="C202" s="10"/>
      <c r="D202" s="2"/>
      <c r="E202" s="70"/>
      <c r="F202" s="2"/>
      <c r="G202" s="25"/>
      <c r="H202" s="23"/>
      <c r="I202" s="103"/>
    </row>
    <row r="203" spans="1:9" x14ac:dyDescent="0.25">
      <c r="A203" s="8"/>
      <c r="B203" s="9"/>
      <c r="C203" s="10"/>
      <c r="D203" s="2"/>
      <c r="E203" s="70"/>
      <c r="F203" s="2"/>
      <c r="G203" s="25"/>
      <c r="H203" s="23"/>
      <c r="I203" s="103"/>
    </row>
    <row r="204" spans="1:9" x14ac:dyDescent="0.25">
      <c r="A204" s="8"/>
      <c r="B204" s="9"/>
      <c r="C204" s="10"/>
      <c r="D204" s="2"/>
      <c r="E204" s="70"/>
      <c r="F204" s="2"/>
      <c r="G204" s="25"/>
      <c r="H204" s="23"/>
      <c r="I204" s="103"/>
    </row>
    <row r="205" spans="1:9" x14ac:dyDescent="0.25">
      <c r="A205" s="8"/>
      <c r="B205" s="9"/>
      <c r="C205" s="10"/>
      <c r="D205" s="2"/>
      <c r="E205" s="70"/>
      <c r="F205" s="2"/>
      <c r="G205" s="25"/>
      <c r="H205" s="23"/>
      <c r="I205" s="103"/>
    </row>
    <row r="206" spans="1:9" x14ac:dyDescent="0.25">
      <c r="A206" s="8"/>
      <c r="B206" s="9"/>
      <c r="C206" s="10"/>
      <c r="D206" s="2"/>
      <c r="E206" s="70"/>
      <c r="F206" s="2"/>
      <c r="G206" s="25"/>
      <c r="H206" s="23"/>
      <c r="I206" s="103"/>
    </row>
    <row r="207" spans="1:9" x14ac:dyDescent="0.25">
      <c r="A207" s="8"/>
      <c r="B207" s="9"/>
      <c r="C207" s="10"/>
      <c r="D207" s="2"/>
      <c r="E207" s="70"/>
      <c r="F207" s="2"/>
      <c r="G207" s="25"/>
      <c r="H207" s="23"/>
      <c r="I207" s="103"/>
    </row>
    <row r="208" spans="1:9" x14ac:dyDescent="0.25">
      <c r="A208" s="8"/>
      <c r="B208" s="9"/>
      <c r="C208" s="10"/>
      <c r="D208" s="2"/>
      <c r="E208" s="70"/>
      <c r="F208" s="2"/>
      <c r="G208" s="25"/>
      <c r="H208" s="23"/>
      <c r="I208" s="103"/>
    </row>
    <row r="209" spans="1:9" x14ac:dyDescent="0.25">
      <c r="A209" s="8"/>
      <c r="B209" s="9"/>
      <c r="C209" s="10"/>
      <c r="D209" s="2"/>
      <c r="E209" s="70"/>
      <c r="F209" s="2"/>
      <c r="G209" s="25"/>
      <c r="H209" s="23"/>
      <c r="I209" s="103"/>
    </row>
    <row r="210" spans="1:9" x14ac:dyDescent="0.25">
      <c r="A210" s="8"/>
      <c r="B210" s="9"/>
      <c r="C210" s="10"/>
      <c r="D210" s="2"/>
      <c r="E210" s="70"/>
      <c r="F210" s="2"/>
      <c r="G210" s="25"/>
      <c r="H210" s="23"/>
      <c r="I210" s="103"/>
    </row>
    <row r="211" spans="1:9" x14ac:dyDescent="0.25">
      <c r="A211" s="8"/>
      <c r="B211" s="9"/>
      <c r="C211" s="10"/>
      <c r="D211" s="2"/>
      <c r="E211" s="70"/>
      <c r="F211" s="2"/>
      <c r="G211" s="25"/>
      <c r="H211" s="23"/>
      <c r="I211" s="103"/>
    </row>
    <row r="212" spans="1:9" x14ac:dyDescent="0.25">
      <c r="A212" s="8"/>
      <c r="B212" s="9"/>
      <c r="C212" s="10"/>
      <c r="D212" s="2"/>
      <c r="E212" s="70"/>
      <c r="F212" s="2"/>
      <c r="G212" s="25"/>
      <c r="H212" s="23"/>
      <c r="I212" s="103"/>
    </row>
    <row r="213" spans="1:9" x14ac:dyDescent="0.25">
      <c r="A213" s="8"/>
      <c r="B213" s="9"/>
      <c r="C213" s="10"/>
      <c r="D213" s="2"/>
      <c r="E213" s="70"/>
      <c r="F213" s="2"/>
      <c r="G213" s="25"/>
      <c r="H213" s="23"/>
      <c r="I213" s="103"/>
    </row>
    <row r="214" spans="1:9" x14ac:dyDescent="0.25">
      <c r="A214" s="8"/>
      <c r="B214" s="9"/>
      <c r="C214" s="10"/>
      <c r="D214" s="2"/>
      <c r="E214" s="70"/>
      <c r="F214" s="2"/>
      <c r="G214" s="25"/>
      <c r="H214" s="23"/>
      <c r="I214" s="103"/>
    </row>
    <row r="215" spans="1:9" x14ac:dyDescent="0.25">
      <c r="A215" s="8"/>
      <c r="B215" s="9"/>
      <c r="C215" s="10"/>
      <c r="D215" s="2"/>
      <c r="E215" s="70"/>
      <c r="F215" s="2"/>
      <c r="G215" s="25"/>
      <c r="H215" s="23"/>
      <c r="I215" s="103"/>
    </row>
    <row r="216" spans="1:9" x14ac:dyDescent="0.25">
      <c r="A216" s="8"/>
      <c r="B216" s="9"/>
      <c r="C216" s="10"/>
      <c r="D216" s="2"/>
      <c r="E216" s="70"/>
      <c r="F216" s="2"/>
      <c r="G216" s="25"/>
      <c r="H216" s="23"/>
      <c r="I216" s="103"/>
    </row>
    <row r="217" spans="1:9" x14ac:dyDescent="0.25">
      <c r="A217" s="8"/>
      <c r="B217" s="9"/>
      <c r="C217" s="10"/>
      <c r="D217" s="2"/>
      <c r="E217" s="70"/>
      <c r="F217" s="2"/>
      <c r="G217" s="25"/>
      <c r="H217" s="23"/>
      <c r="I217" s="103"/>
    </row>
    <row r="218" spans="1:9" x14ac:dyDescent="0.25">
      <c r="A218" s="8"/>
      <c r="B218" s="9"/>
      <c r="C218" s="10"/>
      <c r="D218" s="2"/>
      <c r="E218" s="70"/>
      <c r="F218" s="2"/>
      <c r="G218" s="25"/>
      <c r="H218" s="23"/>
      <c r="I218" s="103"/>
    </row>
    <row r="219" spans="1:9" x14ac:dyDescent="0.25">
      <c r="A219" s="8"/>
      <c r="B219" s="9"/>
      <c r="C219" s="10"/>
      <c r="D219" s="2"/>
      <c r="E219" s="70"/>
      <c r="F219" s="2"/>
      <c r="G219" s="25"/>
      <c r="H219" s="23"/>
      <c r="I219" s="103"/>
    </row>
    <row r="220" spans="1:9" x14ac:dyDescent="0.25">
      <c r="A220" s="8"/>
      <c r="B220" s="9"/>
      <c r="C220" s="10"/>
      <c r="D220" s="2"/>
      <c r="E220" s="70"/>
      <c r="F220" s="2"/>
      <c r="G220" s="25"/>
      <c r="H220" s="23"/>
      <c r="I220" s="103"/>
    </row>
    <row r="221" spans="1:9" x14ac:dyDescent="0.25">
      <c r="A221" s="8"/>
      <c r="B221" s="9"/>
      <c r="C221" s="10"/>
      <c r="D221" s="2"/>
      <c r="E221" s="70"/>
      <c r="F221" s="2"/>
      <c r="G221" s="25"/>
      <c r="H221" s="23"/>
      <c r="I221" s="103"/>
    </row>
    <row r="222" spans="1:9" x14ac:dyDescent="0.25">
      <c r="A222" s="8"/>
      <c r="B222" s="9"/>
      <c r="C222" s="10"/>
      <c r="D222" s="2"/>
      <c r="E222" s="70"/>
      <c r="F222" s="2"/>
      <c r="G222" s="25"/>
      <c r="H222" s="23"/>
      <c r="I222" s="103"/>
    </row>
    <row r="223" spans="1:9" x14ac:dyDescent="0.25">
      <c r="A223" s="8"/>
      <c r="B223" s="9"/>
      <c r="C223" s="10"/>
      <c r="D223" s="2"/>
      <c r="E223" s="70"/>
      <c r="F223" s="2"/>
      <c r="G223" s="25"/>
      <c r="H223" s="23"/>
      <c r="I223" s="103"/>
    </row>
    <row r="224" spans="1:9" x14ac:dyDescent="0.25">
      <c r="A224" s="8"/>
      <c r="B224" s="9"/>
      <c r="C224" s="10"/>
      <c r="D224" s="2"/>
      <c r="E224" s="70"/>
      <c r="F224" s="2"/>
      <c r="G224" s="25"/>
      <c r="H224" s="23"/>
      <c r="I224" s="103"/>
    </row>
    <row r="225" spans="1:9" x14ac:dyDescent="0.25">
      <c r="A225" s="8"/>
      <c r="B225" s="9"/>
      <c r="C225" s="10"/>
      <c r="D225" s="2"/>
      <c r="E225" s="70"/>
      <c r="F225" s="2"/>
      <c r="G225" s="25"/>
      <c r="H225" s="23"/>
      <c r="I225" s="103"/>
    </row>
    <row r="226" spans="1:9" x14ac:dyDescent="0.25">
      <c r="A226" s="8"/>
      <c r="B226" s="9"/>
      <c r="C226" s="10"/>
      <c r="D226" s="2"/>
      <c r="E226" s="70"/>
      <c r="F226" s="2"/>
      <c r="G226" s="25"/>
      <c r="H226" s="23"/>
      <c r="I226" s="103"/>
    </row>
    <row r="227" spans="1:9" x14ac:dyDescent="0.25">
      <c r="A227" s="8"/>
      <c r="B227" s="9"/>
      <c r="C227" s="10"/>
      <c r="D227" s="2"/>
      <c r="E227" s="70"/>
      <c r="F227" s="2"/>
      <c r="G227" s="25"/>
      <c r="H227" s="23"/>
      <c r="I227" s="103"/>
    </row>
    <row r="228" spans="1:9" x14ac:dyDescent="0.25">
      <c r="A228" s="8"/>
      <c r="B228" s="9"/>
      <c r="C228" s="10"/>
      <c r="D228" s="2"/>
      <c r="E228" s="70"/>
      <c r="F228" s="2"/>
      <c r="G228" s="25"/>
      <c r="H228" s="23"/>
      <c r="I228" s="103"/>
    </row>
    <row r="229" spans="1:9" x14ac:dyDescent="0.25">
      <c r="A229" s="8"/>
      <c r="B229" s="9"/>
      <c r="C229" s="10"/>
      <c r="D229" s="2"/>
      <c r="E229" s="70"/>
      <c r="F229" s="2"/>
      <c r="G229" s="25"/>
      <c r="H229" s="23"/>
      <c r="I229" s="103"/>
    </row>
    <row r="230" spans="1:9" x14ac:dyDescent="0.25">
      <c r="A230" s="8"/>
      <c r="B230" s="9"/>
      <c r="C230" s="10"/>
      <c r="D230" s="2"/>
      <c r="E230" s="70"/>
      <c r="F230" s="2"/>
      <c r="G230" s="25"/>
      <c r="H230" s="23"/>
      <c r="I230" s="103"/>
    </row>
    <row r="231" spans="1:9" x14ac:dyDescent="0.25">
      <c r="A231" s="8"/>
      <c r="B231" s="9"/>
      <c r="C231" s="10"/>
      <c r="D231" s="2"/>
      <c r="E231" s="70"/>
      <c r="F231" s="2"/>
      <c r="G231" s="25"/>
      <c r="H231" s="23"/>
      <c r="I231" s="103"/>
    </row>
    <row r="232" spans="1:9" x14ac:dyDescent="0.25">
      <c r="A232" s="8"/>
      <c r="B232" s="9"/>
      <c r="C232" s="10"/>
      <c r="D232" s="2"/>
      <c r="E232" s="70"/>
      <c r="F232" s="2"/>
      <c r="G232" s="25"/>
      <c r="H232" s="23"/>
      <c r="I232" s="103"/>
    </row>
    <row r="233" spans="1:9" x14ac:dyDescent="0.25">
      <c r="A233" s="8"/>
      <c r="B233" s="9"/>
      <c r="C233" s="10"/>
      <c r="D233" s="2"/>
      <c r="E233" s="70"/>
      <c r="F233" s="2"/>
      <c r="G233" s="25"/>
      <c r="H233" s="23"/>
      <c r="I233" s="103"/>
    </row>
    <row r="234" spans="1:9" x14ac:dyDescent="0.25">
      <c r="A234" s="8"/>
      <c r="B234" s="9"/>
      <c r="C234" s="10"/>
      <c r="D234" s="2"/>
      <c r="E234" s="70"/>
      <c r="F234" s="2"/>
      <c r="G234" s="25"/>
      <c r="H234" s="23"/>
      <c r="I234" s="103"/>
    </row>
    <row r="235" spans="1:9" x14ac:dyDescent="0.25">
      <c r="A235" s="8"/>
      <c r="B235" s="9"/>
      <c r="C235" s="10"/>
      <c r="D235" s="2"/>
      <c r="E235" s="70"/>
      <c r="F235" s="2"/>
      <c r="G235" s="25"/>
      <c r="H235" s="23"/>
      <c r="I235" s="103"/>
    </row>
    <row r="236" spans="1:9" x14ac:dyDescent="0.25">
      <c r="A236" s="8"/>
      <c r="B236" s="9"/>
      <c r="C236" s="10"/>
      <c r="D236" s="2"/>
      <c r="E236" s="70"/>
      <c r="F236" s="2"/>
      <c r="G236" s="25"/>
      <c r="H236" s="23"/>
      <c r="I236" s="103"/>
    </row>
    <row r="237" spans="1:9" x14ac:dyDescent="0.25">
      <c r="A237" s="8"/>
      <c r="B237" s="9"/>
      <c r="C237" s="10"/>
      <c r="D237" s="2"/>
      <c r="E237" s="70"/>
      <c r="F237" s="2"/>
      <c r="G237" s="25"/>
      <c r="H237" s="23"/>
      <c r="I237" s="103"/>
    </row>
    <row r="238" spans="1:9" x14ac:dyDescent="0.25">
      <c r="A238" s="8"/>
      <c r="B238" s="9"/>
      <c r="C238" s="10"/>
      <c r="D238" s="2"/>
      <c r="E238" s="70"/>
      <c r="F238" s="2"/>
      <c r="G238" s="25"/>
      <c r="H238" s="23"/>
      <c r="I238" s="103"/>
    </row>
    <row r="239" spans="1:9" x14ac:dyDescent="0.25">
      <c r="A239" s="8"/>
      <c r="B239" s="9"/>
      <c r="C239" s="10"/>
      <c r="D239" s="2"/>
      <c r="E239" s="70"/>
      <c r="F239" s="2"/>
      <c r="G239" s="25"/>
      <c r="H239" s="23"/>
      <c r="I239" s="103"/>
    </row>
    <row r="240" spans="1:9" x14ac:dyDescent="0.25">
      <c r="A240" s="8"/>
      <c r="B240" s="9"/>
      <c r="C240" s="10"/>
      <c r="D240" s="2"/>
      <c r="E240" s="70"/>
      <c r="F240" s="2"/>
      <c r="G240" s="25"/>
      <c r="H240" s="23"/>
      <c r="I240" s="103"/>
    </row>
    <row r="241" spans="1:9" x14ac:dyDescent="0.25">
      <c r="A241" s="8"/>
      <c r="B241" s="9"/>
      <c r="C241" s="10"/>
      <c r="D241" s="2"/>
      <c r="E241" s="70"/>
      <c r="F241" s="2"/>
      <c r="G241" s="25"/>
      <c r="H241" s="23"/>
      <c r="I241" s="103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Jeaner Silva</cp:lastModifiedBy>
  <cp:lastPrinted>2018-11-04T16:37:28Z</cp:lastPrinted>
  <dcterms:created xsi:type="dcterms:W3CDTF">2010-01-05T11:09:21Z</dcterms:created>
  <dcterms:modified xsi:type="dcterms:W3CDTF">2018-11-05T03:02:38Z</dcterms:modified>
</cp:coreProperties>
</file>