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coliconw\documentos\"/>
    </mc:Choice>
  </mc:AlternateContent>
  <xr:revisionPtr revIDLastSave="0" documentId="13_ncr:1_{FC54758B-9ADA-4C8A-BBC3-C9B6AFA28A4A}" xr6:coauthVersionLast="37" xr6:coauthVersionMax="37" xr10:uidLastSave="{00000000-0000-0000-0000-000000000000}"/>
  <bookViews>
    <workbookView xWindow="0" yWindow="0" windowWidth="17256" windowHeight="5640" xr2:uid="{00000000-000D-0000-FFFF-FFFF00000000}"/>
  </bookViews>
  <sheets>
    <sheet name="Processos" sheetId="9" r:id="rId1"/>
    <sheet name="Dados" sheetId="12" r:id="rId2"/>
    <sheet name="Resumo" sheetId="13" r:id="rId3"/>
  </sheets>
  <definedNames>
    <definedName name="_xlnm._FilterDatabase" localSheetId="0" hidden="1">Processos!$A$4:$AZ$4</definedName>
    <definedName name="Cláudia">#REF!</definedName>
    <definedName name="DIVICOL">#REF!</definedName>
    <definedName name="Evando">#REF!</definedName>
    <definedName name="ListaCPL">#REF!</definedName>
    <definedName name="ListaDIVCOL">#REF!</definedName>
    <definedName name="ListaEdital">#REF!</definedName>
    <definedName name="teste">#REF!</definedName>
    <definedName name="Valter">#REF!</definedName>
  </definedNames>
  <calcPr calcId="179021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6" i="9" l="1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5" i="9" l="1"/>
  <c r="I203" i="9" l="1"/>
  <c r="I202" i="9"/>
  <c r="I201" i="9" l="1"/>
  <c r="I200" i="9" l="1"/>
  <c r="I199" i="9" l="1"/>
  <c r="I198" i="9"/>
  <c r="I197" i="9"/>
  <c r="I196" i="9" l="1"/>
  <c r="I194" i="9" l="1"/>
  <c r="I195" i="9" l="1"/>
  <c r="I193" i="9" l="1"/>
  <c r="I192" i="9"/>
  <c r="I191" i="9" l="1"/>
  <c r="I190" i="9" l="1"/>
  <c r="I183" i="9" l="1"/>
  <c r="I189" i="9"/>
  <c r="I188" i="9"/>
  <c r="I187" i="9"/>
  <c r="I186" i="9" l="1"/>
  <c r="K185" i="9" l="1"/>
  <c r="I185" i="9"/>
  <c r="I184" i="9" l="1"/>
  <c r="I176" i="9" l="1"/>
  <c r="I182" i="9" l="1"/>
  <c r="I181" i="9"/>
  <c r="I180" i="9"/>
  <c r="I179" i="9"/>
  <c r="I178" i="9"/>
  <c r="I177" i="9"/>
  <c r="I175" i="9" l="1"/>
  <c r="I174" i="9"/>
  <c r="I173" i="9" l="1"/>
  <c r="I172" i="9"/>
  <c r="I171" i="9" l="1"/>
  <c r="I170" i="9"/>
  <c r="I169" i="9" l="1"/>
  <c r="I168" i="9" l="1"/>
  <c r="I167" i="9" l="1"/>
  <c r="I166" i="9"/>
  <c r="I165" i="9" l="1"/>
  <c r="L3" i="9" l="1"/>
  <c r="K29" i="9" l="1"/>
  <c r="A2" i="9"/>
  <c r="I5" i="9"/>
  <c r="I11" i="9"/>
  <c r="I13" i="9"/>
  <c r="I16" i="9"/>
  <c r="I17" i="9"/>
  <c r="I19" i="9"/>
  <c r="I20" i="9"/>
  <c r="I25" i="9"/>
  <c r="I27" i="9"/>
  <c r="I29" i="9"/>
  <c r="I31" i="9"/>
  <c r="I39" i="9"/>
  <c r="I42" i="9"/>
  <c r="I43" i="9"/>
  <c r="I44" i="9"/>
  <c r="K44" i="9"/>
  <c r="I45" i="9"/>
  <c r="I47" i="9"/>
  <c r="I48" i="9"/>
  <c r="I49" i="9"/>
  <c r="I50" i="9"/>
  <c r="I54" i="9"/>
  <c r="I60" i="9"/>
  <c r="I61" i="9"/>
  <c r="I64" i="9"/>
  <c r="I66" i="9"/>
  <c r="I75" i="9"/>
  <c r="I78" i="9"/>
  <c r="I81" i="9"/>
  <c r="I82" i="9"/>
  <c r="I85" i="9"/>
  <c r="I90" i="9"/>
  <c r="I91" i="9"/>
  <c r="I96" i="9"/>
  <c r="I97" i="9"/>
  <c r="I98" i="9"/>
  <c r="I100" i="9"/>
  <c r="I101" i="9"/>
  <c r="I104" i="9"/>
  <c r="I105" i="9"/>
  <c r="I106" i="9"/>
  <c r="I107" i="9"/>
  <c r="I108" i="9"/>
  <c r="I109" i="9"/>
  <c r="I110" i="9"/>
  <c r="I112" i="9"/>
  <c r="I113" i="9"/>
  <c r="I120" i="9"/>
  <c r="I121" i="9"/>
  <c r="I124" i="9"/>
  <c r="I125" i="9"/>
  <c r="I127" i="9"/>
  <c r="I128" i="9"/>
  <c r="I130" i="9"/>
  <c r="I133" i="9"/>
  <c r="I135" i="9"/>
  <c r="I139" i="9"/>
  <c r="I143" i="9"/>
  <c r="I144" i="9"/>
  <c r="I145" i="9"/>
  <c r="I146" i="9"/>
  <c r="I147" i="9"/>
  <c r="I148" i="9"/>
  <c r="I149" i="9"/>
  <c r="I150" i="9"/>
  <c r="I151" i="9"/>
  <c r="I152" i="9"/>
  <c r="I157" i="9"/>
  <c r="I158" i="9"/>
  <c r="I159" i="9"/>
  <c r="I160" i="9"/>
  <c r="I161" i="9"/>
  <c r="I162" i="9"/>
  <c r="I163" i="9"/>
  <c r="I164" i="9"/>
  <c r="K123" i="9"/>
  <c r="K3" i="9" l="1"/>
  <c r="I156" i="9"/>
  <c r="I155" i="9"/>
  <c r="I154" i="9"/>
  <c r="I153" i="9"/>
  <c r="I142" i="9" l="1"/>
  <c r="I141" i="9"/>
  <c r="I140" i="9"/>
  <c r="I138" i="9" l="1"/>
  <c r="I137" i="9" l="1"/>
  <c r="I136" i="9"/>
  <c r="I134" i="9" l="1"/>
  <c r="I132" i="9" l="1"/>
  <c r="I131" i="9"/>
  <c r="I129" i="9" l="1"/>
  <c r="I126" i="9" l="1"/>
  <c r="I123" i="9" l="1"/>
  <c r="I122" i="9"/>
  <c r="I119" i="9" l="1"/>
  <c r="I118" i="9" l="1"/>
  <c r="I102" i="9" l="1"/>
  <c r="I117" i="9" l="1"/>
  <c r="I59" i="9" l="1"/>
  <c r="I116" i="9" l="1"/>
  <c r="I115" i="9"/>
  <c r="I114" i="9" l="1"/>
  <c r="I111" i="9" l="1"/>
  <c r="I37" i="9" l="1"/>
  <c r="I103" i="9" l="1"/>
  <c r="I95" i="9" l="1"/>
  <c r="I99" i="9" l="1"/>
  <c r="I94" i="9" l="1"/>
  <c r="I93" i="9"/>
  <c r="I92" i="9" l="1"/>
  <c r="I89" i="9" l="1"/>
  <c r="I88" i="9" l="1"/>
  <c r="I87" i="9" l="1"/>
  <c r="I86" i="9"/>
  <c r="I84" i="9" l="1"/>
  <c r="I83" i="9"/>
  <c r="I80" i="9" l="1"/>
  <c r="I79" i="9" l="1"/>
  <c r="I76" i="9" l="1"/>
  <c r="I6" i="9" l="1"/>
  <c r="I7" i="9"/>
  <c r="I8" i="9"/>
  <c r="I9" i="9"/>
  <c r="I10" i="9"/>
  <c r="I12" i="9"/>
  <c r="I14" i="9"/>
  <c r="I15" i="9"/>
  <c r="I18" i="9"/>
  <c r="I21" i="9"/>
  <c r="I22" i="9"/>
  <c r="I23" i="9"/>
  <c r="I24" i="9"/>
  <c r="I26" i="9"/>
  <c r="I28" i="9"/>
  <c r="I30" i="9"/>
  <c r="I32" i="9"/>
  <c r="I33" i="9"/>
  <c r="I34" i="9"/>
  <c r="I35" i="9"/>
  <c r="I36" i="9"/>
  <c r="I38" i="9"/>
  <c r="I40" i="9"/>
  <c r="I41" i="9"/>
  <c r="I46" i="9"/>
  <c r="I51" i="9"/>
  <c r="I52" i="9"/>
  <c r="I53" i="9"/>
  <c r="I55" i="9"/>
  <c r="I56" i="9"/>
  <c r="I57" i="9"/>
  <c r="I58" i="9"/>
  <c r="I62" i="9"/>
  <c r="I63" i="9"/>
  <c r="I65" i="9"/>
  <c r="I67" i="9"/>
  <c r="I68" i="9"/>
  <c r="I69" i="9"/>
  <c r="I70" i="9"/>
  <c r="I71" i="9"/>
  <c r="I72" i="9"/>
  <c r="I73" i="9"/>
  <c r="I74" i="9"/>
  <c r="I77" i="9"/>
  <c r="H2" i="9" l="1"/>
  <c r="G2" i="9" s="1"/>
  <c r="G9" i="12"/>
  <c r="I9" i="12" s="1"/>
  <c r="G7" i="12"/>
  <c r="I7" i="12" s="1"/>
  <c r="G5" i="12"/>
  <c r="I5" i="12" s="1"/>
  <c r="G8" i="12"/>
  <c r="I8" i="12" s="1"/>
  <c r="G6" i="12"/>
  <c r="I6" i="12" s="1"/>
  <c r="G4" i="12"/>
  <c r="I4" i="12" s="1"/>
  <c r="C3" i="12"/>
  <c r="C7" i="12"/>
  <c r="C11" i="12"/>
  <c r="C4" i="12"/>
  <c r="C8" i="12"/>
  <c r="C12" i="12"/>
  <c r="C13" i="12"/>
  <c r="C5" i="12"/>
  <c r="C9" i="12"/>
  <c r="C14" i="12"/>
  <c r="C6" i="12"/>
  <c r="C10" i="12"/>
  <c r="C2" i="12"/>
  <c r="I10" i="12" l="1"/>
  <c r="I11" i="12" s="1"/>
  <c r="B2" i="9" s="1"/>
</calcChain>
</file>

<file path=xl/sharedStrings.xml><?xml version="1.0" encoding="utf-8"?>
<sst xmlns="http://schemas.openxmlformats.org/spreadsheetml/2006/main" count="1726" uniqueCount="813">
  <si>
    <t>Assunto</t>
  </si>
  <si>
    <t>Processo</t>
  </si>
  <si>
    <t>Aquisição de ar condicionado</t>
  </si>
  <si>
    <t>CEPESC</t>
  </si>
  <si>
    <t>COENG</t>
  </si>
  <si>
    <t>SEAL</t>
  </si>
  <si>
    <t>Mariângela</t>
  </si>
  <si>
    <t>Antonio</t>
  </si>
  <si>
    <t>1690/2017</t>
  </si>
  <si>
    <t>1548/2017</t>
  </si>
  <si>
    <t>Contratação de link redundante</t>
  </si>
  <si>
    <t>Dispensa</t>
  </si>
  <si>
    <t>Pregão</t>
  </si>
  <si>
    <t>1825/2017</t>
  </si>
  <si>
    <t>Serviços de dedetização</t>
  </si>
  <si>
    <t>SEBA</t>
  </si>
  <si>
    <t>Serviços de limpeza</t>
  </si>
  <si>
    <t>106/2018</t>
  </si>
  <si>
    <t>Fornecimento de energia elétrica</t>
  </si>
  <si>
    <t>275/2018</t>
  </si>
  <si>
    <t>SEMS</t>
  </si>
  <si>
    <t>248/2018</t>
  </si>
  <si>
    <t>Serviço de vigilância</t>
  </si>
  <si>
    <t>SERN</t>
  </si>
  <si>
    <t>SEPE</t>
  </si>
  <si>
    <t>1818/2017</t>
  </si>
  <si>
    <t>Serviço de Nobreak</t>
  </si>
  <si>
    <t>Manutenção Predial</t>
  </si>
  <si>
    <t>2065/2017</t>
  </si>
  <si>
    <t>101/2018</t>
  </si>
  <si>
    <t>Serviço de acesso à internte via rádio</t>
  </si>
  <si>
    <t>2411/2017</t>
  </si>
  <si>
    <t>Manutenção corretiva e preventiva em condicionadores de ar</t>
  </si>
  <si>
    <t>377/2017</t>
  </si>
  <si>
    <t>Aquisição de móveis</t>
  </si>
  <si>
    <t>COMAP</t>
  </si>
  <si>
    <t>401/2018</t>
  </si>
  <si>
    <t>281/2018</t>
  </si>
  <si>
    <t>2266/2017</t>
  </si>
  <si>
    <t>2473/2017</t>
  </si>
  <si>
    <t>143/2018</t>
  </si>
  <si>
    <t>290/2018</t>
  </si>
  <si>
    <t>2240/2017</t>
  </si>
  <si>
    <t>2010/2017</t>
  </si>
  <si>
    <t>Modernização Bloco C</t>
  </si>
  <si>
    <t>Aquisição de lixeiras SRP</t>
  </si>
  <si>
    <t>Locação</t>
  </si>
  <si>
    <t>SERO</t>
  </si>
  <si>
    <t>429/2018</t>
  </si>
  <si>
    <t>Aquisição de cadeiras</t>
  </si>
  <si>
    <t>1136/2017</t>
  </si>
  <si>
    <t>SEGO</t>
  </si>
  <si>
    <t>SERS</t>
  </si>
  <si>
    <t>Projeto subestação</t>
  </si>
  <si>
    <t>Aparelhos e utensílios domesticos</t>
  </si>
  <si>
    <t>525/2018</t>
  </si>
  <si>
    <t>Serviço de dedetização</t>
  </si>
  <si>
    <t>SEPR</t>
  </si>
  <si>
    <t>631/2018</t>
  </si>
  <si>
    <t>642/2018</t>
  </si>
  <si>
    <t>DGP</t>
  </si>
  <si>
    <t>1756/2016</t>
  </si>
  <si>
    <t>2068/2017</t>
  </si>
  <si>
    <t>Aqusição de equipamentos eletrônicos</t>
  </si>
  <si>
    <t>Marta</t>
  </si>
  <si>
    <t>Aquisição de materiais para plotadora</t>
  </si>
  <si>
    <t>671/2018</t>
  </si>
  <si>
    <t>Aquisição de GLP</t>
  </si>
  <si>
    <t>Pregão SRP</t>
  </si>
  <si>
    <t>Aquisição de CAFÉ</t>
  </si>
  <si>
    <t>672/2018</t>
  </si>
  <si>
    <t>Aquisição de mobiliário</t>
  </si>
  <si>
    <t>ESINT</t>
  </si>
  <si>
    <t>685/2017</t>
  </si>
  <si>
    <t xml:space="preserve">Manutenção de Ar condicionado </t>
  </si>
  <si>
    <t>727/2018</t>
  </si>
  <si>
    <t>Limpeza e Conservação</t>
  </si>
  <si>
    <t>742/2018</t>
  </si>
  <si>
    <t>Aquisição de café e açúcar</t>
  </si>
  <si>
    <t>1159/2017</t>
  </si>
  <si>
    <t>184/2018</t>
  </si>
  <si>
    <t>169/2018</t>
  </si>
  <si>
    <t>Serviço de vigilânica</t>
  </si>
  <si>
    <t>SECE</t>
  </si>
  <si>
    <t>Origem</t>
  </si>
  <si>
    <t>2069/2018</t>
  </si>
  <si>
    <t>1059/207</t>
  </si>
  <si>
    <t>Manutenção preventiva e corretiva em elevador</t>
  </si>
  <si>
    <t>503/2018</t>
  </si>
  <si>
    <t>Cessão de imóvel</t>
  </si>
  <si>
    <t>SERR</t>
  </si>
  <si>
    <t>Cessão</t>
  </si>
  <si>
    <t>1526/2017</t>
  </si>
  <si>
    <t xml:space="preserve">Contratação de empresa para ministrar Workshop </t>
  </si>
  <si>
    <t>Inexigibilidade</t>
  </si>
  <si>
    <t>1865/2017</t>
  </si>
  <si>
    <t>Locação de veículo</t>
  </si>
  <si>
    <t>DIVTROF</t>
  </si>
  <si>
    <t>2084/2017</t>
  </si>
  <si>
    <t>Serviços de limpeza - Sede</t>
  </si>
  <si>
    <t>COSERGE</t>
  </si>
  <si>
    <t>400/2018</t>
  </si>
  <si>
    <t>377/2018</t>
  </si>
  <si>
    <t>Aquisição de material elétrico-eletrônico</t>
  </si>
  <si>
    <t>641/2018</t>
  </si>
  <si>
    <t>SEPI</t>
  </si>
  <si>
    <t>785/2018</t>
  </si>
  <si>
    <t>Aqusição de material de expediente</t>
  </si>
  <si>
    <t>SEMA</t>
  </si>
  <si>
    <t>Instalação de divisórias</t>
  </si>
  <si>
    <t>802/2018</t>
  </si>
  <si>
    <t>Aqusição de café e açúcar (agricultor familiar)</t>
  </si>
  <si>
    <t>814/2018</t>
  </si>
  <si>
    <t>832/2018</t>
  </si>
  <si>
    <t>Serviço de Portaria</t>
  </si>
  <si>
    <t>833/2018</t>
  </si>
  <si>
    <t>Aquisição, instalação e manutenção de gerador fotovoltáicos</t>
  </si>
  <si>
    <t>André</t>
  </si>
  <si>
    <t>865/2017</t>
  </si>
  <si>
    <t xml:space="preserve">Disponibilização de sala da sede para AOFI </t>
  </si>
  <si>
    <t>Evando</t>
  </si>
  <si>
    <t>1224/2017</t>
  </si>
  <si>
    <t xml:space="preserve">Manutenção corretiva de ar condicionado </t>
  </si>
  <si>
    <t>1774/2017</t>
  </si>
  <si>
    <t xml:space="preserve">Serviço de dedetização </t>
  </si>
  <si>
    <t>SETO</t>
  </si>
  <si>
    <t>Cessão de uso para ASBIN</t>
  </si>
  <si>
    <t>1824/2017</t>
  </si>
  <si>
    <t xml:space="preserve">Contrato de prestação de serviços com Serpro </t>
  </si>
  <si>
    <t>2122/2017</t>
  </si>
  <si>
    <t>2105/2017</t>
  </si>
  <si>
    <t>SPG</t>
  </si>
  <si>
    <t>SEGOR</t>
  </si>
  <si>
    <t xml:space="preserve">Serviço de limpeza e higienização de ar condicionado </t>
  </si>
  <si>
    <t>SERJ</t>
  </si>
  <si>
    <t>Valter</t>
  </si>
  <si>
    <t>728/2018</t>
  </si>
  <si>
    <t>Aquisição de café açúcar, papel A4</t>
  </si>
  <si>
    <t>Cotação</t>
  </si>
  <si>
    <t>543/2018</t>
  </si>
  <si>
    <t>Desinstalação e instalação de ar condicionado</t>
  </si>
  <si>
    <t>SEMT</t>
  </si>
  <si>
    <t>846/2018</t>
  </si>
  <si>
    <t>Manutenção de cerca elétrica</t>
  </si>
  <si>
    <t>SEPB</t>
  </si>
  <si>
    <t>845/2018</t>
  </si>
  <si>
    <t>Aquisição de material de lavanderia</t>
  </si>
  <si>
    <t>847/2018</t>
  </si>
  <si>
    <t>855/2018</t>
  </si>
  <si>
    <t>Aquisição e instalação de persiana</t>
  </si>
  <si>
    <t>873/2018</t>
  </si>
  <si>
    <t>632/2018</t>
  </si>
  <si>
    <t>Aquisição de solução de segurança da informação e auditoria</t>
  </si>
  <si>
    <t>2066/2017</t>
  </si>
  <si>
    <t>Adesão à ata</t>
  </si>
  <si>
    <t>Fase</t>
  </si>
  <si>
    <t>Qtd</t>
  </si>
  <si>
    <t>Resp.</t>
  </si>
  <si>
    <t>Mod.</t>
  </si>
  <si>
    <t>PROCESSOS DIVCOL - 2018</t>
  </si>
  <si>
    <t>SEPE
SEAP
SECE
SEMT</t>
  </si>
  <si>
    <t>Dispensa PV</t>
  </si>
  <si>
    <t>nº</t>
  </si>
  <si>
    <t>Instrução inicial</t>
  </si>
  <si>
    <t>Elaboração de edital</t>
  </si>
  <si>
    <t>Devolvido ao requisitante</t>
  </si>
  <si>
    <t>Chefia da DIVCOL</t>
  </si>
  <si>
    <t>Enviado à ASJUR</t>
  </si>
  <si>
    <t>Análise pós ASJUR</t>
  </si>
  <si>
    <t>Envio CGOF</t>
  </si>
  <si>
    <t>Instrução final</t>
  </si>
  <si>
    <t>Envio à DIVCON</t>
  </si>
  <si>
    <t>Concluído</t>
  </si>
  <si>
    <t>Arquivado</t>
  </si>
  <si>
    <t xml:space="preserve">Serviço de consulta ao banco de dados CDL </t>
  </si>
  <si>
    <t>Serviço de transporte para o curso CAI</t>
  </si>
  <si>
    <t>513/2018</t>
  </si>
  <si>
    <t>Sanção administrativa Brasal Combustível</t>
  </si>
  <si>
    <t>COLICON</t>
  </si>
  <si>
    <t>Sanção</t>
  </si>
  <si>
    <t>2026/2017</t>
  </si>
  <si>
    <t>Aquisição de solução integrada de transmissão de áudio e vídeo (Plano Rio)</t>
  </si>
  <si>
    <t>926/2018</t>
  </si>
  <si>
    <t>Recarga de extintor</t>
  </si>
  <si>
    <t>SEMG</t>
  </si>
  <si>
    <t>884/2018</t>
  </si>
  <si>
    <t>Aquisição de cafeteira elétrica</t>
  </si>
  <si>
    <t>SESC</t>
  </si>
  <si>
    <t>Preg/Disp</t>
  </si>
  <si>
    <t>008/2018</t>
  </si>
  <si>
    <t>904/2018</t>
  </si>
  <si>
    <t>886/2018</t>
  </si>
  <si>
    <t>Serviço de clipping eletrônico Jornalístico</t>
  </si>
  <si>
    <t>ARIC</t>
  </si>
  <si>
    <t>010/2018</t>
  </si>
  <si>
    <t>Carol</t>
  </si>
  <si>
    <t>Elizabete</t>
  </si>
  <si>
    <t>Pré-autuação</t>
  </si>
  <si>
    <t>Mudança de imóvel</t>
  </si>
  <si>
    <t>(vazio)</t>
  </si>
  <si>
    <t>Total Geral</t>
  </si>
  <si>
    <t>Processos por unidade e fase atual</t>
  </si>
  <si>
    <t>024/2018</t>
  </si>
  <si>
    <t>957/2018</t>
  </si>
  <si>
    <t>006/2018</t>
  </si>
  <si>
    <t>009/2018</t>
  </si>
  <si>
    <t>0025/2018</t>
  </si>
  <si>
    <t>Serviço MDO - Manutenção Predial</t>
  </si>
  <si>
    <t>Aquisição - Lixeiras SRP</t>
  </si>
  <si>
    <t>Aquisição - Móveis</t>
  </si>
  <si>
    <t>Serviço - Fornecimento de energia elétrica</t>
  </si>
  <si>
    <t>Aquisição - Materiais para plotadora</t>
  </si>
  <si>
    <t>Aquisição - Cadeiras</t>
  </si>
  <si>
    <t>Serviço - Dedetização</t>
  </si>
  <si>
    <t>Aquisição - Material elétrico-eletrônico</t>
  </si>
  <si>
    <t>Serviço - Manutenção corretiva e preventiva em condicionadores de ar</t>
  </si>
  <si>
    <t>Aquisição - GLP</t>
  </si>
  <si>
    <t>Aquisição - Mobiliário</t>
  </si>
  <si>
    <t>Aquisição - Café e açúcar</t>
  </si>
  <si>
    <t xml:space="preserve">Serviço - Manutenção de Ar condicionado </t>
  </si>
  <si>
    <t xml:space="preserve">Serviço - Manutenção corretiva de ar condicionado </t>
  </si>
  <si>
    <t>Serviço - Desinstalação e instalação de ar condicionado</t>
  </si>
  <si>
    <t xml:space="preserve">Serviço - Limpeza e higienização de ar condicionado </t>
  </si>
  <si>
    <t>Aquisição - Café açúcar, papel A4</t>
  </si>
  <si>
    <t>Aquisição - Material de lavanderia</t>
  </si>
  <si>
    <t>Serviço - Manutenção - Cerca elétrica</t>
  </si>
  <si>
    <t>Aquisição e instalação - Persiana</t>
  </si>
  <si>
    <t xml:space="preserve">Serviço - Dedetização </t>
  </si>
  <si>
    <t xml:space="preserve">Serviço - Consulta ao banco de dados CDL </t>
  </si>
  <si>
    <t>Serviço - Transporte para o curso CAI</t>
  </si>
  <si>
    <t>Aquisição - Solução integrada de transmissão de áudio e vídeo (Plano Rio)</t>
  </si>
  <si>
    <t>Aquisição - Recarga de extintor</t>
  </si>
  <si>
    <t>Aquisição - Cafeteira elétrica</t>
  </si>
  <si>
    <t>Serviço - Clipping eletrônico Jornalístico</t>
  </si>
  <si>
    <t>Aquisição - Ferramentas</t>
  </si>
  <si>
    <t>Serviço MDO - Limpeza</t>
  </si>
  <si>
    <t>Serviço MDO - Limpeza - Sede</t>
  </si>
  <si>
    <t>Serviço MDO -  Limpeza</t>
  </si>
  <si>
    <t>Serviço MDO - Vigilânica</t>
  </si>
  <si>
    <t>Serviço MDO - Vigilância</t>
  </si>
  <si>
    <t>Serviço  MDO - Portaria</t>
  </si>
  <si>
    <t>Aquisição - Ar condicionado</t>
  </si>
  <si>
    <t>Aquisição - Solução de segurança da informação e auditoria</t>
  </si>
  <si>
    <t>Serviço - Manutenção preventiva e corretiva em elevador</t>
  </si>
  <si>
    <t>Serviço - Llink redundante de internet</t>
  </si>
  <si>
    <t>Serviço - Manutenção de Nobreak</t>
  </si>
  <si>
    <t>Locação - Veículo</t>
  </si>
  <si>
    <t>Aquisição - Instalação de divisórias</t>
  </si>
  <si>
    <t>Serviço - Projeto subestação</t>
  </si>
  <si>
    <t>Aquisição - Aparelhos e utensílios domesticos</t>
  </si>
  <si>
    <t>Serviço MDO - Limpeza e Conservação</t>
  </si>
  <si>
    <t>Imóvel - Locação</t>
  </si>
  <si>
    <t>Imóvel - Locação - Mudança de sede</t>
  </si>
  <si>
    <t>Imóvel - Cessão</t>
  </si>
  <si>
    <t xml:space="preserve">Imóvel - Cessão de área - sala da sede para AOFI </t>
  </si>
  <si>
    <t>Imóvel - Cessão de uso para ASBIN</t>
  </si>
  <si>
    <t>Aquisição - Material de expediente</t>
  </si>
  <si>
    <t>Serviço - Modernização Bloco C</t>
  </si>
  <si>
    <t>Pregões</t>
  </si>
  <si>
    <t>SRP</t>
  </si>
  <si>
    <t>Ata</t>
  </si>
  <si>
    <t>Tipo</t>
  </si>
  <si>
    <t>Quant.</t>
  </si>
  <si>
    <t>Dias</t>
  </si>
  <si>
    <t>Total</t>
  </si>
  <si>
    <t>Analistas</t>
  </si>
  <si>
    <t>Administrativo</t>
  </si>
  <si>
    <t>Previsão de conclusão</t>
  </si>
  <si>
    <t>Serviço - Contratação de empresa para ministrar Workshop</t>
  </si>
  <si>
    <t>007/2018</t>
  </si>
  <si>
    <t>923/2018</t>
  </si>
  <si>
    <t>674/2018</t>
  </si>
  <si>
    <t>974/2018</t>
  </si>
  <si>
    <t xml:space="preserve">Serviço - Contratação de empresa especializada em engenharia para elaboração de Laudo de Avaliação e Projeto de Recuperação Estrututal do imóvel da SEBA. </t>
  </si>
  <si>
    <t>Serviço - Seviço especializado de informação e informática Serpro</t>
  </si>
  <si>
    <t>973/2018</t>
  </si>
  <si>
    <t>Aquisição - Água mineral garrafão 20 litros</t>
  </si>
  <si>
    <t>1011/2018</t>
  </si>
  <si>
    <t>998/2018</t>
  </si>
  <si>
    <t>Aquisição-  Fornecimento e instalação de película</t>
  </si>
  <si>
    <t>016/2018</t>
  </si>
  <si>
    <t>011/2018</t>
  </si>
  <si>
    <t>17/2018</t>
  </si>
  <si>
    <t>18/2018</t>
  </si>
  <si>
    <t>14/2018</t>
  </si>
  <si>
    <t>30/2018</t>
  </si>
  <si>
    <t>Jeaner</t>
  </si>
  <si>
    <t>Mudança de sede</t>
  </si>
  <si>
    <t>SESE</t>
  </si>
  <si>
    <t>29/2018</t>
  </si>
  <si>
    <t>cotação</t>
  </si>
  <si>
    <t>1026/2018</t>
  </si>
  <si>
    <t>Serviço - Fornecimento e instalação de emblema</t>
  </si>
  <si>
    <t>1025/2018</t>
  </si>
  <si>
    <t>970/2018</t>
  </si>
  <si>
    <t>32/2018</t>
  </si>
  <si>
    <t>1078/2018</t>
  </si>
  <si>
    <t>1054/2018</t>
  </si>
  <si>
    <t>21/2018</t>
  </si>
  <si>
    <t>1081/2018</t>
  </si>
  <si>
    <t>33/2018</t>
  </si>
  <si>
    <t>1113/2018</t>
  </si>
  <si>
    <t>1114/2018</t>
  </si>
  <si>
    <t>Aquisição - Material gráfico</t>
  </si>
  <si>
    <t>DIVGRAF</t>
  </si>
  <si>
    <t>1124/2018</t>
  </si>
  <si>
    <t>Serviço - Adequação do sistema de proteção contra incêndio</t>
  </si>
  <si>
    <t>Aquisição - café</t>
  </si>
  <si>
    <t>1151/2018</t>
  </si>
  <si>
    <t>1162/2018</t>
  </si>
  <si>
    <t>Serviço - Inscrição em curso para os servidores Daniel Teles Salomão e Isanio Lopes de Araújo</t>
  </si>
  <si>
    <t>Serviço - Inscrição em curso para as servidoras Roberta Letícia, Tereza Cristina e Sandra de Faria</t>
  </si>
  <si>
    <t>34/2018</t>
  </si>
  <si>
    <t>1145/2018</t>
  </si>
  <si>
    <t>Serviço - Inscrição em curso para os servidores Murilo Coutinho Silva e Evander Pereira de Rezende</t>
  </si>
  <si>
    <t>036/2018</t>
  </si>
  <si>
    <t>037/2018</t>
  </si>
  <si>
    <t xml:space="preserve">Dispensa </t>
  </si>
  <si>
    <t>1204/2018</t>
  </si>
  <si>
    <t>Aquisição - Materiais para testes psicológicos</t>
  </si>
  <si>
    <t>1205/2018</t>
  </si>
  <si>
    <t>Aquisição - Testes psicológicos</t>
  </si>
  <si>
    <t>1210/2018</t>
  </si>
  <si>
    <t>Aquisição - Artigos de cama, mesa e banho</t>
  </si>
  <si>
    <t>24/2018</t>
  </si>
  <si>
    <t>925/2018</t>
  </si>
  <si>
    <t>Serviço - Acesso à internet via rádio</t>
  </si>
  <si>
    <t>Serviço - Aquisição, instalação e manutenção Gerador fotovoltáicos Usina solar</t>
  </si>
  <si>
    <t>012/2018</t>
  </si>
  <si>
    <t>38/2018</t>
  </si>
  <si>
    <t>0039/2018</t>
  </si>
  <si>
    <t>1240/2018</t>
  </si>
  <si>
    <t>Aquisição - Materiais para laboratório</t>
  </si>
  <si>
    <t>971/2018</t>
  </si>
  <si>
    <t>40/2018</t>
  </si>
  <si>
    <t xml:space="preserve">Inexigibilidade
</t>
  </si>
  <si>
    <t>1271/2018</t>
  </si>
  <si>
    <t>1281/2018</t>
  </si>
  <si>
    <t>1282/2018</t>
  </si>
  <si>
    <t>Serviço - Contratação de energia elétrica</t>
  </si>
  <si>
    <t>20/2018</t>
  </si>
  <si>
    <t>15/2018</t>
  </si>
  <si>
    <t>Serviço - Inscrição em curso dos serviodes Antonio Augusto Muniz de Carvalho e Robson de Oliveira Albuquerque</t>
  </si>
  <si>
    <t>023/2018</t>
  </si>
  <si>
    <t>42/2018</t>
  </si>
  <si>
    <t>924/2018</t>
  </si>
  <si>
    <t>1308/2018</t>
  </si>
  <si>
    <t>Aquisição - Materiais de expediente, acondicionamentos e embalagens</t>
  </si>
  <si>
    <t>1304/2018</t>
  </si>
  <si>
    <t>1311/2018</t>
  </si>
  <si>
    <t>1254/2018</t>
  </si>
  <si>
    <t>Serviço - Montagem de solução de MHSCPV3</t>
  </si>
  <si>
    <t>026/2018</t>
  </si>
  <si>
    <t>025/2018</t>
  </si>
  <si>
    <t>43/2018</t>
  </si>
  <si>
    <t>1337/2018</t>
  </si>
  <si>
    <t>Serviço - Manutenção preventiva e corretiva em ar condiconado</t>
  </si>
  <si>
    <t>Serviço - Fornecimento e instalação de paineis e divisórias do Bloco C</t>
  </si>
  <si>
    <t>031/2018
041/2018</t>
  </si>
  <si>
    <t xml:space="preserve"> 27/2018</t>
  </si>
  <si>
    <t xml:space="preserve">Aquisição - Café, açúcar e chá </t>
  </si>
  <si>
    <t>13/2018</t>
  </si>
  <si>
    <t>1327/2018</t>
  </si>
  <si>
    <t>DCI</t>
  </si>
  <si>
    <t>1382/2018</t>
  </si>
  <si>
    <t>1383/2018</t>
  </si>
  <si>
    <t>1367/2018</t>
  </si>
  <si>
    <t>Curso - Adobe - Design Avançado</t>
  </si>
  <si>
    <t>26/2018
27/2018
45/2018</t>
  </si>
  <si>
    <t>Aquisição - Equipamentos eletrônicos (Plano Rio)</t>
  </si>
  <si>
    <t>Aquisição - Projeto laboratório de Big Data (Plano Rio)</t>
  </si>
  <si>
    <t>1399/2018</t>
  </si>
  <si>
    <t>1384/2018</t>
  </si>
  <si>
    <t>Curso - Gestão integrada em inteligência</t>
  </si>
  <si>
    <t>Curso - cursos de informática para vários servidores</t>
  </si>
  <si>
    <t>Aquisição - Equipamentos de aúdio (Plano Rio)</t>
  </si>
  <si>
    <t>Processo suspenso por falta de recurso;
15/05 - Solicitar adesão pelo sistema Gestão de ata (Filipe);
17/05 - Finalizar a inclusão no sistema (Carol);
17/05 - Aguardando o aceite do órgão gerenciador (Carol);
18/05 - Entregue à CGOF para emissão da D.O e depois devolução do processo à DIVCOL;
21/05 - Processo concluído. Orgão gerenciador autorizou a adesão. Fluxo: CGOF -  CGAD - DIVCON;</t>
  </si>
  <si>
    <t>No aguardo do envio da proposta pela unidade requisitante;
21/05 - Processo aquivado. SEMA informou que enviará documentos para abertura de novo processo. Processo encontra-se na DIVCOL e será encaminhado ao aquivo no final do ano, conforme solicitação da COAP;</t>
  </si>
  <si>
    <t>Elaborar despacho de apontamento (Mariângela);
16/05 - Revisar Despacho (Carol);
17/05 - Ao DAL para aprovação (Colicon);
18/05 - Retorno do processo (Carol);
21/05 - Para ajustes no edital (Mariângela);
21/05 - Realizada ajuste no Edital para publicação no Comprasnet;
21/05 - Processo a ser entregue a Elizabete para execução do pregão (Carol);
22/05 - Para execução do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</t>
  </si>
  <si>
    <t xml:space="preserve">Lançar pregão (Filipe);
17/05  - Processo a ser redistribuído (Carol);
18/05 - Para execução de pregão (Elizabete);
04/06 - Pregão deserto. Será publicado novamente (Elizabete);
29/06 - Para revisão do Despacho de homologação (Carol);
03/07 - Para correção (Elizabete);
04/07 - Despacho corrigido (Carol);
05/07 - Ao DAL para homologação, em seguida à CGOF para adequação da D.O e emissão de empenho, e após à DIVCON para providências pertinnetes. Fluxo: DAL-CGOF-CGAD-DIVCON;
</t>
  </si>
  <si>
    <t>23/05 - O processo encontra-se no DGP, aguadando posicionamento da unidade requisitante (Sandra ramal-8191);</t>
  </si>
  <si>
    <t>Elaborar Despacho de homologação;
16/05 - Revisar despacho (Carol);
21/05 - Para ajustes no despacho (Antonio);
21/05 - Para revisão do Relatório pela Chefia;
21/05  - Para ajustes no Relatório (Antonio);
23/05 - Analisar Relatório de Homologação;
23/05 - Processo concluído. Destino DAL para homologação com posterior envio à DIVCON para formalização da Ata. Fluxo: DAL-CGAD-DIVCON;</t>
  </si>
  <si>
    <t>23/05 - Para homologação (Carol);
24/05 - Processo concluído. Destino DAL para homologação com posterior envio à CGOF para emissão de empenho. Fluxo: DIVCOL-DAL-CGOF-CGAD-DIVCON;</t>
  </si>
  <si>
    <t xml:space="preserve">18/05 - Retorno do processo da ASJUR. Análise do Parecer (Carol);
21/05 - Para elaborar Despacho de Apontamento (Mariângela);
21/05 - Elaborado Despacho de Apontamento. Para revisão (Carol);
22/05 - Para autorização da abertura da licitação pelo DAL e emissão da D.O. Fluxo: COLICON-CGAD-DAL-CGOF-CGAD-DIVCOL;
29/05 - Retorno do processo;
29/05 - Preparar os documentos para cadastro do pregão (Mariângela);
30/05 - Pregão lançado - Data de Abertura: 13/06, às 10 horas;
01/06 - Para operar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
</t>
  </si>
  <si>
    <t xml:space="preserve">Revisar planilha;
21/05 - Elaborado Despacho de Apontamento (Mariângela);
21/05 - Para revisão (Carol);
22/05 - Para autorização da abertura da licitação pelo DAL e emissão da D.O. Fluxo: COLICON-CGAD-DAL-CGOF-CGAD-DIVCOL;
29/05 - Retorno do processo;
29/05 - Para revisão final da planilha (Antonio);
30/05 - Para Mariângela para lançar o Pregão Eletrônico;
30/05 - Pregão lançado - Data de Abertura: 13/06 - 10 horas;
20/06 - Para homologação, com posterior envio à CGOF para empenho e, em seguida, à DIVCON para formalização do contrato.Fluxo: DAL-CGOF-CGAD-DIVCON;
</t>
  </si>
  <si>
    <t>Pregão em execução (Filipe);
17/05 - Para consultar as certidões e finalizar pregão (Antonio);
18/05 - Para despachar (Carol);
21/05 - Processo concluído. Destino DAL para homologação com posterior envio à CGOF para emissão de empenho. Fluxo: DIVCOL-DAL-CGOF-CGAD-DIVCON;</t>
  </si>
  <si>
    <t>11/05 - Ao DAL para aprovação;
16/05 - Para executar pregão (Mariângela);
25/05 - Sessão aberta (Mariângela) Análise de proposta e habilitação;
01/06 - Para homologação (Carol);
01/06 - Processo concluído. Destino DAL para homologação com posterior envio à CGOF para emissão de empenho. Fluxo: DIVCOL-DAL-CGOF-CGAD-DIVCON;</t>
  </si>
  <si>
    <t>16/05 - Para atualizar planilha de custos (Thiago)
16/05 -  Para elaborar despacho de apontamento enquanto a COSERGE ajusta a planilha (Marta)
17/05 - Planilha ajustada pela COSERGE
18/05 - Para autorização da abertura da licitação pelo DAL e emissão da D.O. Fluxo: COLICON-CGAD-DAL-CGOF-CGAD-DIVCOL.
22/05 - Retorno do processo.
22/05 - Para execução do pregão (Mariângela)
Abertura da sessão 06/06.
25/05 - Necessidade de correção da planilha e republicação. Nova data de abertura: 11/06 - 10 horas.
07/06 - Para executar pregão (Marta)
14/06 - Para Homologação. Fluxo: DIVCOL-DAL-CGOF-DIVCON;</t>
  </si>
  <si>
    <t>Processo encontra-se na COENG para análise;
17/05 - Retorno do Processo;
21/05 - À COMAP para verificar o endereço;
30/05 - Retorno do processo;
30/05 - Para elaboração de Despacho de envio à ASJUR (Evando);
07/06 - Para dar continuidade ao processo (Carol);
08/06 - Para emissão de D.O;
13/06 - Retorno do processo;
14/06 - Para elaborar Despacho de envio à ASJUR;
18/06 - Para dar continuidade ao processo (Carol);
19/06 - Para parecer. Fluxo: COLICON-CGAD-DAL-ASJUR;
29/06 - Retorno do processo;
03/07 - Para consultar SICAF (Evando);
03/07 - Para dar continuidade (Carol);
05/07 - Para cadastrar a Dispensa (Evando);
05/07 - Dispensa cadastrada - para publicação  (Evando);
06/07 - Para dar continuidade ao processo (Carol);
09/07 - Para assinatura do SPG. Fluxo: COLICON-CGAD-DAL-SPG-CGAD-DIVCOL;
24/07 - Para formalização do contrato;</t>
  </si>
  <si>
    <t xml:space="preserve">Solicitar documentos ao requisitante (Filipe)
16/05 - Reencaminhado à ASJUR com a complementação de dados solicitado por cota.
21/05 - Recebido Memorando nº 073/2018 com documentos originais (Carol)
25/05 - Retorno da ASJUR.
25/05 - Encaminhar à SERR cópia do Parecer (Evando);
25/05 - Email encaminhado à SERR (Carol);
25/05 - Analisar Parecer (Carol);
29/05 - Para elaboração de Despacho de D.O (Evando);
30/05 - Para dar continuidade ao processo (Carol);
30/05 - Para emissão de D.O;
07/06 - Retorno do processo;
11/06 - Para solicitar ao requisitante complemento de informações e elaborar Despacho de apontamento (Mariângela);
11/06 - E-mail enviado ao requisitante solicitando complementar algumas informações (Mariângela);
12/06 - Enviado novo e-mail ao requisitante solicitando complementar algumas informações (Mariângela);
13/06 - A área requisitante prestou as informações necessárias (Émerson);
13/06 - Despacho de apontamento para análise (Carol);
13/06 - À COLICON para revisão com destino final ao DAL para aprovação. Fluxo: COLICON-CGAD-DAL-CGAD-DIVCOL;
14/06 - À DIVCON para formalização do Termo de Cessão;
</t>
  </si>
  <si>
    <t>Processo encontra-se com o Administrativo para solicitar ao requisitante o documento faltante (Documento Formalizador da Demanda);
18/05 - À CGAD para análise (Wilner);
18/06 - Arquivado por determinação da CGAD;</t>
  </si>
  <si>
    <t xml:space="preserve">Processo encontra-se com o requisitante para solução de pendência;
17/05 - Retorno do processo (Carol);
21/05 - Encaminhado e-mail ao requisitante solicitando o envio, por malote, das propostas (Neto/SEPE)
05/06 - Propostas recebidas;
06/06 - Para analisar documentos e elaborar Despacho de D.O (Evando);
20/06 - Foi Solicitado ao Requisitante novo Termo atualizado para dar continuidade ao processo (Evando);
27/06 - Para dar continuidade ao processo (Carol);
27/06 - Para emissão de D.O.;
03/07 - Retorno do processo;
05/07 - Para cadastar a Dispensa (Evando);
10/07 - Para dar continuidade processo (Carol);
10/07 - Para autorização da contratação e emissão de empenho, em seguida à DIVCON para providências pertinentes. Fluxo: COLICON-CGAD-DAL-CGOF-CGAD-DIVCON;
</t>
  </si>
  <si>
    <t>Aguardando solução de pendência do requisitante;
24/05 - Para dar continuidade ao processo (Carol);
24/05 - Para emissão de D.O.;
30/05 - Retorno do processo;
30/05 - Para execução da Dispensa (Evando);
11/06 - Para ajustes (Evando);
11/06 - Processo concluído. Destino DAL para aprovação com posterior envio à CGOF para emissão de empenho. Fluxo: COLICON-CGAD-DAL-CGOF-CGAD-DIVCON;</t>
  </si>
  <si>
    <t>11/05 - Para emissão de D.O.;
16/05 - Para cadastrar Dispensa (Evando);
17/05 - Processo concluído. Destino DAL para aprovação com posterior envio à CGOF para emissão de empenho. Fluxo: COLICON-CGAD-DAL-CGOF-CGAD-DIVCON;</t>
  </si>
  <si>
    <t>Análise dos documentos;
21/05 - Para dar continuidade (Carol);
21/05 - Para emissão de D.O.;
24/05 - Retorno do processo;
24/05 - Para cadastrar cotação (Evando);
28/05 - Cotação cadastrada (Evando);
04/06 - Encaminhado orçamento por e-mail para o requisitante para análise(Evando);
07/06 - Para dar continuidade ao processo (Carol);
11/06 - Para ajuste (Evando);
11/05 - Processo concluído. Destino DAL para homologação com posterior envio à CGOF para emissão de empenho. Fluxo: COLICON-CGAD-DAL-CGOF-CGAD-DIVCON;</t>
  </si>
  <si>
    <t>Elaborar despacho de apontamento (André);
18/05 - Revisão do despacho (Carol);
21/05 - Para cadastrar dispensa (Valter);
21/05 - Para dar continuidade ao processo (Carol);
21/05 - Processo concluído. Destino DAL para aprovação com posterior envio à CGOF para emissão de empenho. Fluxo: COLICON-CGAD-DAL-CGOF-CGAD-DIVCON;</t>
  </si>
  <si>
    <t>11/05 - Elaborar despacho de apontamento (André);
24/05 - Revisar Despacho (Carol);
25/05 - Para ratificação do SPG. Fluxo: COLICON-CGAD-DAL-SPG-DAL-CGAD-DIVCOL;
01/06 - Para cadastrar Dispensa (Evando);
04/06 - Para dar continuidade ao processo (Carol);
05/06 - Para empenho;</t>
  </si>
  <si>
    <t>11/05 - Ao DAL para aprovação;
17/05 - Para cadastrar inexigibilidade (Valter);
21/05 - Processo concluído. À CGOF para empenho e, posteriormente, à DIVCON;</t>
  </si>
  <si>
    <t xml:space="preserve">16/05 - Para análise da defesa da empresa (Mariângela);
25/06 - Para análise do despacho contendo a análise da defesa da empresa (Carol);
25/06 - Para ajustes (Mariângela);
26/06 - Para análise do despacho contendo a análise da defesa da empresa (Carol);
26/06 - À Lívia/COSERG para providências pertinentes;
</t>
  </si>
  <si>
    <t xml:space="preserve">16/05 - Para elaborar despacho de apontamento (Mariângela);
01/06 - Para análise do despacho de apontamento (Carol);
05/06 - Para ratificação do DG. Fluxo: COLICON-CGAD-DAL-SPG-DG-DAL-CGAD-DIVCOL;
25/06 - Retorno do processo;
26/06 - Para cadastrar Dispensa (Valter);
26/06 - Dispensa cadastrada;
27/06 - Anexado extrato de dispensa (Carol);
27/06 - À CGOF para emissão de empenho, com destino posterior à DIVCON para providências pertinentes. Fluxo: CGOF-CGAD-DIVCON;
29/06 - Corrigir cadastro da Dispensa;
03/07 - À CGOF para emissão de empenho, com destino posterior à DIVCON para providências pertinentes. Fluxo: CGOF-CGAD-DIVCON;
</t>
  </si>
  <si>
    <t>16/05 - Para análise dos documentos (Valter);
14/06 - Para dar continuidade ao processo (Carol);
15/06 - Para emissão de D.O.;
20/06 - Retorno do processo;
20/06 - Para cadastar a Dispensa (Valter);
26/06 - Dispensa cadastrada (Carol);
27/06 - Ao DAL para aprovação da contratação e envio à CGOF para emissão de empenho, com destino final à DIVCON para providências pertinentes. Fluxo: COLICON-CGAD-DAL-CGOF-CGAD-DIVCON;</t>
  </si>
  <si>
    <t>16/05 - Para análise dos documentos (Valter);
23/05 - Para dar continuidade (Carol);
24/05 - Para emissão de D.O.;
30/05 - Retorno do processo;
30/05 - Para cadastro da cotação eletrônica (Evando)
04/06 - Cotação cadastrada (Evando);
12/06 - Para negociar preço com as empresas (Valter);
27/06 - Nenhuma das empresas concordou em fornecer o material pelo valor de referência, por isso a cotação foi cancelada (Carol);
29/06 - Informar ao requisitante o fracasso da cotação e sugerir a realização de novas pesquisas de preços e revisão das especificações (Valter);
03/07 - Enviado email (Carlos);
04/07 - O requisitante respodeu o email autorizando nova cotação com mesmo valor e especificações da primeira;
05/07 - Foi cadastrada uma nova cotação;
12/07 - A cotação foi adjudicado para a empresa João Matos da Silva;
12/07 - Para dar continuidade ao processo (Carol);
13/07 - Ao DAL para aprovação da contratação, em seguida à CGOF para emissão de empenho, e posteriormente à DIVCON para providências pertinentes;</t>
  </si>
  <si>
    <t>17/05 - Para análise quanto à modalidade (Carol);
21/05 - Encaminhado e-mail ao requisitante solicitando DFD e novo TR. Será realizada licitação.
22/05 - Requisitante realizará dispensa para suportar o período necessário para conclusão da licitação (Augusto/ARIC);
24/05 - Para dar continuidade ao processo (Carol);
25/05 - Para análise e elbaoração de Despacho de D.O (Valter);
28/05 - Para dar continuidade ao processo (Carol);
29/05 - Para emissão de D.O.;
29/05 - Devolução do processo pela CGOF;
 Necessidade de analisar modalidade;
30/05 - Aguardando justificativa do requisitante para contratação emergencial (Augusto/ARIC);
07/06 - Recebido a justificativa da unidade requisitante;
08/06 - Para elaborar minuta de contrato (Marta);
12/06 - Solicitação de documentos ao requisitante;
13/06 - Para dar continuidade (Elizabete);
19/06 - Retorno do processo;
20/06 - Para negociação do valor da empresa (Augusto/ARIC);
21/06 - Nova proposta entregue. Ao DAL para aprovação da contratação. Fluxo:COLICON-CGAD-DAL-CGAD-DIVCOL;
22/06 - Para cadastrar Dispensa (Valter);
25/06 - Dispensa cadastrada (Carol);
25/06 - À CGOF para adequação da DO e emissão de empenho. Em seguida, à DIVCON para providências pertinentes;</t>
  </si>
  <si>
    <t xml:space="preserve">25/05 - Entrada do Processo na DIVCOL;
28/05 - Para análise dos documentos e elaboração de Despacho de D.O (Evando);
29/05 - Para dar continuidade ao processo (Carol);
29/05 - Para emissão de D.O.;
07/06 - Retorno do processo;
08/06 - Para execução da Dispensa (Evando);
13/06 - Para dar continuidade ao processo (Carol);
13/06 - Processo concluído. Destino DAL para aprovação com posterior envio à CGOF para emissão de empenho. Fluxo: COLICON-CGAD-DAL-CGOF-CGAD-DIVCON;
</t>
  </si>
  <si>
    <t>13/07 - Entrada do Processo na DIVCOL;
13/07 - À COENG para avaliar a indicação de integrante técnico;</t>
  </si>
  <si>
    <t>23/05 - Solicitada à SESE a apresentação de proposta;</t>
  </si>
  <si>
    <t>04/06 - Entrada do processo na DIVCOL;
05/06 - Para confirmar com o requisitante o valor total da contratação (Evando);
14/06 - Para Arquivamento (Carol);
14/06 - Processo será enviado à COAP no final do ano, conforme solicitação daquela Coordenação;</t>
  </si>
  <si>
    <t>04/06 - Entrada do processo na DIVCOL;
07/06 - Para elaborar Termo de Ciência e Despacho de nomeação equipe de planejamento (Evando);
11/06 - Para dar continuidade ao processo (Carol) ;
11/06 - Para designação da equipe de planejamento. Fluxo: COLICON-CGAD-DAL-CGAD-DIVCOL;
13/06 - Retorno do processo;
14/06 - Para executar as funções de integrante administrativo (Marta);
15/06 - E-mail enviado ao requisitante para documentação inicial prazo: 06/07;
28/06 - Processo será arquivado e a licitação será realizada em 2019, na medida que foi realizada contratação por Dispensa de Licitação nº  37/2018;
29/06 - Enviado e-mail ao requisitante informando sobre o arquivamento;</t>
  </si>
  <si>
    <t>11/06 - Entrada do processo na DIVCOL;
11/06 - Para análise dos documentos e elaboração de Despacho de envio à ASJUR (Evando);
14/06- Para dar continuidade ao processo (Carol);
19/06 - Para aprovar modelo de Despacho (Jeaner);
19/06 - Para solicitar mapa de risco e demais documentos (Evando);
20/06 - Aguardando confirmação da inscrição (Muniz) para dar andamento ao processo (Evando);
25/06 - Encaminhado por e-mail para o requisitante para o preenchimento do mapa de risco (Evando);
03/07 - Encaminhado novo modelo de risco à unidade requisitante (Sandra/DGP);
04/07 - Para revisar Despacho de envio à ASJUR (Carol);
05/07 - Para revisão e envio à ASJUR para parecer. Fluxo: COLICON-CGAD-DAL-ASJUR;
17/07 -  Retorno à DIVCOL, para publicação ( Evando);
18/07 - Para CGOF, emitir empenho e fechamento de câmbio;</t>
  </si>
  <si>
    <t xml:space="preserve">11/06 - Entrada do processo na DIVCOL;
11/06 - Para análise dos documentos e elaboração de Despacho de D.O (Evando);
12/06 - Para dar continuidade (Valter);
18/06 - Para dar continuidade ao processo (Carol);
18/06 - Para emissão de D.O.;
20/06 - Retorno do processo;
20/06 - Para cadastar a Dispensa (Valter);
20/06 - Dispensa cadastrada (Carol);
21/06 - Ao DAL para aprovação da contratação, com posterior envio á CGOF para emissão de empenho, e, em seguida, à DIVCON para providências pertinentes;
</t>
  </si>
  <si>
    <t xml:space="preserve">13/06 - Entrada do processo na DIVCOL;
13/06 - Para análise dos documentos e elaboração de Despacho de D.O (Valter);
18/06 - Para dar continuidade ao processo (Carol);
18/06 - Para emissão de D.O.;
20/06 - Retorno do processo;
20/06 - Para cadastar a Dispensa (Valter);
22/06 - Dispensa cadastrada (Carol);
22/06 - Para aprovação da contratação, com envio à CGOF para empenho e, em seguida, à DIVCON para providências pertinentes. Fluxo: COLICON-CGAD-DAL-CGOF-CGAD-DIVCON;
</t>
  </si>
  <si>
    <t xml:space="preserve">13/06 - Entrada do processo na DIVCOL;
13/06 - Para análise dos documentos e elaboração de Despacho de D.O (Evando);
14/06 - Para emissão de D.O.;
21/06 - Retorno do processo;
21/06 - Para cadastrar Dispensa;
03/07 - Para dar continuidade ao Processo (Carol);
05/07 - Ao DAL para aprovação da contratação, em seguida à CGOF para empenho e depois à DIVCON para providências pertinentes. Fluxo: COLICON-CGAD-DAL-CGOF-CGAD-DIVCON;
</t>
  </si>
  <si>
    <t>18/06 - Entrada do Memorando Nº 0198/93300, DE 06/06/18, da SECE. Superintendência informa que a empresa não entregou o produto e solicita nova aquisição;
19/06 - DIVAL verificará se repetirá a cotação;
21/06 - DIVAL informou que o quantitativo será acrescentado no pregão em andamento;</t>
  </si>
  <si>
    <t xml:space="preserve">18/06 - Entrada do Processo na DIVCOL;
20/06 - Para elaborar Despachos (Valter);
20/06 - Para dar continuidade ao processo (Carol);
20/06 - Para emissão de D.O.;
26/06 - Retorno do processo;
27/06 - Para elaborar Despacho de inexigibilidade (Valter);
28/06 - Para dar continuidade ao processo (Carol);
29/06 - Ao SPG para ratificação. Fluxo: COLICON-CGAD-DAL-SPG-CGAD-DIVCOL;
02/07 - Para cadastrar inexigibilidade;
02/07 - À CGOF para empenho;
03/07 - À CGOF para cancelamento de empenho e emissão de nova D.O. A unidade requisitante informou que se confundiu quanto ao valor da inscrição. Também será necessário corrigir o fonercedor registrado na Inexigibilidade;
05/07 - Retorno do processo;
05/07 - Para retificar a inexigibilidade (Valter);
06/07 -Cancelada inexigibilidade 11/2018 e incluida a INEX.12/2018.(Saulo);
</t>
  </si>
  <si>
    <t>18/06 - Entrada do Processo na DIVCOL;
19/06 - Para emissão de D.O.;
21/06 - Retorno do processo;
21/06 - Para elaborar Despacho (Valter);
21/06 - Aguardando documento que exclui a servidora Sandra do processo (Roberta);
22/06 - Para dar continuidade ao processo (Carol);
22/06 - Para ratificação pelo SPG. Fluxo: COLICON-CGAD-DAL-SPG-DAL-CGAD-COLICON-DIVCOL;
26/06 - Retorno do processo;
26/06 - Para cadastrar inexigibilidade (Valter);
26/06 - Inexigibilidade cadastrada (Fátima);
26/06 - Para empenho e, posteriormente, à DIVCON para providências pertinentes;</t>
  </si>
  <si>
    <t>21/06 - Entrada do Processo na DIVCOL;
21/06 - Para analisar documentos (Evando);
26/06 - Para dar continuidade ao processo (Carol);
27/06 - Foi encaminhado à CGAD (Marcelo);
27/06 - Retorno do processo;
27/06 - Para ratificação do SPG. Fluxo: COLICON-CGAD-DAL-SPG-CGAD-DIVCOL;
28/06 - Retorno do processo;
29/06 - Para cadastrar inexigibilidade (Evando);
03/07 - Para o fechamento de Câmbio (CGOF);
05/07 - Para dar continuidade ao processo (Carol);
05/07 - À COAPOR/CGOF para análise documental e em seguida à DIVCON para providências pertinentes;</t>
  </si>
  <si>
    <t>14/05 - Para atualizar planilha de custos (Thiago);
16/05 - Para acompanhar o processo. Após ajustes da planilha pelo requisitante, realizar revisão da Planilha e elaborar Despacho de Apontamento (Antonio);
23/05 - Revisão de Despacho de apontamento;
23/05 - Para autorização da abertura da licitação pelo DAL e emissão da D.O. Fluxo: COLICON-CGAD-DAL-CGOF-CGAD-DIVCOL;
29/05 - Retorno do processo;
29/05 - Para revisão final da planilha (Mariângela);
29/05 - Para lançar o Pregão (Antonio);
30/05 - Publicação - Pregão nº 16/2018  - Sessão Pública dia 13/06/2018 - 10h;
24/07 - Encaminhado relatório de Homologação do Pregão 16/2018 para a Coordenação. Empresa PLUS SERVICE vencedora.</t>
  </si>
  <si>
    <t>46/2018</t>
  </si>
  <si>
    <t>1416/2018</t>
  </si>
  <si>
    <t>Recarga de extintores</t>
  </si>
  <si>
    <t>28/05 - Entrada do Processo na DIVCOL;
29/05 - Para análise dos documentos e elaboração de Despacho de D.O (Evando);
04/06 - Para dar continuidade ao processo (Carol);
05/06 - Para emissão de D.O.;
19/06 - Para cadastrar a cotação eletrônico (Evando);
19/06 - Cotação cadastrada(Evando);
22/06 - Cotação eletrônica encerrada, fase de negociação de preços (Evando);
04/07 - Fase de negociação com empresas (Evando);
12/07 - A empresa de segundo preço ofertado aceitou chegar ao valor de referência (Evando);
19/07 - Fase de adjudicação da cotação (Evando);
19/07 - Para dar continuidade ao processo (Jeaner);
26/07 - Para emitir nota de empenho (Evando)</t>
  </si>
  <si>
    <t>Serviço - Substituição do telhado da cobertuta com impermebialização de calhas e lajes do Bloco B e C</t>
  </si>
  <si>
    <t>Solucionar pendência junto ao requisitante para envio à ASJUR;
16/05 - Enviado e-mail ao requisitante/Sr. Valdir Miguel. (Mariângela);
01/06 - Requisitante respondeu e-mail com as considerações da imobiliária (Mariângela);
08/06 - Para revisão do despacho de encaminhamento (Carol);
11/06 - À COLICON para revisão dos documentos com desitino final à ASJUR para Parecer. Fluxo: COLICON-CGAD-DAL-ASJUR;
25/06 - Retorno do Processo;
26/06 - Para elaborar Despacho de apontamento (Mariângela);
27/06 - Enviado e-mail para SERS (Sr. Miguel) para complementar informações solicitadas pela ASJUR;
10/07 -  SERS apresentou resposta da empresa e informou que ainda aguarda a a certidão solicitada;
18/07 - Enviado e-mail ao requisitante/Sr. Valdir Miguel solicitando manifestação em relação a resposta da empresa. (Mariângela);
19/07 - O requisitante/Sr. Valdir Miguel manifestou em relação a resposta da empresa/apontamento AJUR;
19/07 - Elaborado Despacho de apontamento e enviado para análise da COLICON. (Jeaner);
25/07 - Enviado à DIVCON
26/07 - Recebi (Valter) o processo e cadastrei  no SIASG. 
27/07 - Anexei cópia do D. O. e encaminhei para Jeaner.</t>
  </si>
  <si>
    <t>1426/2018</t>
  </si>
  <si>
    <t>Curso - Contratação de professor externo - Oficina de Redação de Documentos de Inteligência</t>
  </si>
  <si>
    <t>1398/2018</t>
  </si>
  <si>
    <t>Curso - Wordpress Básico</t>
  </si>
  <si>
    <t>23/07 - Entrada do processo na COLICON;
24/07 - Para dar andamento ao processo (Evando);
26/07 - Para emissão de nota de empenho (CGOF);
31/07 - À DIVCON</t>
  </si>
  <si>
    <t>Aguardando solução de pendência do requisitante;
29/05 - Para dar continuidade ao processo (Carol);
29/05 - Para emissão de D.O.;
07/06 - Retorno do processo.;
08/06 - Para cadastrar Dispensa (Evando);
19/06 - Foi enviado e-mail para  Unidade Requisitante (Sabrina/SEMT), no intuito revolver pendência,  junto ao fornecedor (não há certidão válida no sistema da Receita. (Evando);
04/07 - Será enviado outro e-mail ao Requisitante, com contagem de prazo final (Evando);
04/07 - Enviado e-mail (Evando);
09/07 - Enviado outro e-mail a SEMT, ao servidor Diogo/SEMT, tendo em vista que Sabrina se encontra de férias, prazo dado até 16/07 (Evando);
25/07 - Para dar continuidade ao processo (Jeaner)
27/07 - Para emissão de empenho;
31/07 - À DIVCON</t>
  </si>
  <si>
    <t>11/05 - Elaborar Termo de Ciência e Despacho de nomeação equipe de planejamento;
16/05 - Para designação da equipe de planejamento (Colicon);
17/05 - Necessidade de alteração da equipe de planejamento (Carol);
21/05 - Para elaboração de Termo de Ciência integrante administrativo (Valter);
22/05 - Para dar continuidade ao processo (Carol)
22/05 - Para Designação da equipe de planejamento. Fluxo: COLICON-CGAD-DAL-CGAD-DIVCOL;
24/05 - Retorno do processo (Carol);
28/05 - À integrante técnica (Lívia/COSERGE);
13/06 - Retorno do processo. Aguardando o envio do Termo de Referência;
21/06 - Recebido o Termo de Referência;
26/06 - Para entrar em contato com a SEPB e solicitar orçamento com as empresas listadas na pesquisa do Painel de Preços (Valter);
27/06 - Fiz contato com a servidora Katia pedindo propostra;
05/07 - Kátia/SEPB informou que já conseguiu os orçamentos e solicitará a empresa de menor valor os documentos necessários para assinatura de contrato. Pelo valor, será realizada uma Dispensa;
11/07 - Recebido documentação por email;
12/07 - Para dar continuidade ao processo (Carol);
13/07 - Para emissão de D.O;
18/07 - Cadastrar dispensa no sistema (Valter);
19/07 - Dispensa cadastrada (Jeaner);
27/07 - Para emissão de empenho;
31/07 - À DIVCOL;</t>
  </si>
  <si>
    <t>16/2018</t>
  </si>
  <si>
    <t>Serviço - Inscrição em curso para os servidores Rafael Gostinski Ferreira e Carlo Magno Alves dos Santos - Banco de dados Big Data</t>
  </si>
  <si>
    <t xml:space="preserve">04/07 - Entrada do Processo na DIVCOL.
09/07 - Para solicitar Mapa de Risco ao requisitante e elaborar Despacho (Evando). 
A inexigibilidade será finalizada em 19/07, quando os novos valores entrarão em vigência.
27/07 - Para dar andamento ao processo (Jeaner)
01/08 - Para dar andamento ao processo (Carol)
02/08 - À CGOF para fechamento do câmbio. 
</t>
  </si>
  <si>
    <t>1449/2018</t>
  </si>
  <si>
    <t>Serviço - Manutenção preventIva nas subestações de média tensão</t>
  </si>
  <si>
    <t>1466/2018</t>
  </si>
  <si>
    <t>Serviço - Transporte internacional de mobiliário</t>
  </si>
  <si>
    <t>1441/2018</t>
  </si>
  <si>
    <t>Curso - Inscrição dos servidores Henrique Duran e Daniel de Andrade no curso Microsoft Ignite 2018</t>
  </si>
  <si>
    <t>1436/2018</t>
  </si>
  <si>
    <t>Aquisição - Licença e subscrição Red Hat</t>
  </si>
  <si>
    <t>1053/2018</t>
  </si>
  <si>
    <t>Serviço - Projeo outsourcing de impressão</t>
  </si>
  <si>
    <t xml:space="preserve">17/05 - Revisão de edital (Carol);
21/05 - À COLICON para revisão de edital com desitino final à ASJUR para Parecer. Fluxo: COLICON-CGAD-DAL-ASJUR;
12/06 -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cadastar pregão (Mariângela);
25/06 - Pregão lançado - Data de Abertura: 09/07 - 10 horas (Pregoeira Elizabete);
25/07 - Para homologação;
03/08 - À DIVCON para formalizar Ata de Registro de Preços.
</t>
  </si>
  <si>
    <t>Aquisição - Aparelhos de telefone IP (Plano Rio)</t>
  </si>
  <si>
    <t>Aquisição - Materiais para readequação e suporte a infraestrutura de comunicação (Plano Rio)</t>
  </si>
  <si>
    <t>Aquisição - Equipamentos operacionais para contramedidas de vigilância técnica (Conjunto de avaliação espectral formado por analisador de espectro) Plano Rio</t>
  </si>
  <si>
    <t>Serviço - Desinsetização</t>
  </si>
  <si>
    <t>1488/2018</t>
  </si>
  <si>
    <t>Aquisição - Água mineral garrafão 20 litros para Sede</t>
  </si>
  <si>
    <t>31/2018</t>
  </si>
  <si>
    <t>19/2018</t>
  </si>
  <si>
    <t>Eduardo</t>
  </si>
  <si>
    <t>1463/2018</t>
  </si>
  <si>
    <r>
      <t xml:space="preserve">Curso - Inscrição de servidor Uver Oliveira Cabral no evento </t>
    </r>
    <r>
      <rPr>
        <i/>
        <sz val="8"/>
        <rFont val="Arial"/>
        <family val="2"/>
      </rPr>
      <t>One Week Intensive Forensic Linguistic</t>
    </r>
  </si>
  <si>
    <t>26/07 - Entrada na Colicon;
30/07 - Para dar andamento ao processo (Valter);
31/07 - Para dar continuidade ao processo (Carol);
03/08 - Para alterar Despacho e retificar Inexigibilidade (Valter);
06/08 - Para dar continuidade ao processo;
06/08 - Para retificação e empenho. Fluxo: COLICON-CGAD-DAL-DG-DAL-CGOF-DIVCON.</t>
  </si>
  <si>
    <t>14/05 - À ASJUR para parecer;
04/06 - Retorno do Processo;
05/06 - Para análise do Parecer e elaboração de Despacho de apontamento (Mariângela);
05/06 - Elaborado Despacho de apontamento (Carol);
06/06 - Para autorização da abertura da licitação pelo DAL. Fluxo: COLICON-CGAD-DAL-CGAD-DIVCOL;
08/06 - Retorno do processo;
08/06 - Para marcar pregão (Mariângela);
12/06 - Pregão lançado - Data de Abertura: 22/06 - 10 horas (Pregoeira Elizabete);
25/07 - Ao DAL para homologação, com envio posterior à CGOF para empenho e em seguida à DIVCON para formalização do contrato. Fluxio: DAL- -CGOF-CGAD-DIVCON.</t>
  </si>
  <si>
    <t>11/05 - Para parecer;
17/05 - Enviado à ASJUR;
04/06 - Retorno do processo. Será analisado o Parecer;
06/06 - Para elaboração de Despacho de apontamento (Marta);
11/06 - Para revisão e solicitação de DO (Carol);
11/06 - Para autorização da abertura da licitação pelo DAL. Fluxo: COLICON-CGAD-DAL-CGAD-DIVCOL;
19/06 - Retorno do Processo;
20/06 - Para cadastrar pregão (Marta);
27/06 - Pregão agendado para 04/07 - 09:00 (Entregue à Elizabete);
25/07 - Ao DAL para homologação, com envio posterior à CGOF para empenho e em seguida à DIVCON para providências pertinentes. Fluxio: DAL- -CGOF-CGAD-DIVCON.</t>
  </si>
  <si>
    <t>Serviço - Lançamento de fibra óptica para última milha - RNP</t>
  </si>
  <si>
    <t xml:space="preserve">Revisar planilha;
23/05 - Elaborar edital (Mariângela);
23/05 - Revisão de Edital, Despacho de encaminhamento e Planilha (Carol);
25/05 - À COLICON para revisão de edital com desitino final à ASJUR para Parecer. Fluxo: COLICON-CGAD-DAL-ASJUR;
18/06 - Retorno do processo;
19/06 - Para elaboração de Despacho de apontamento (Marta);
21/06 - Ao DAL para autorização da abertura da licitação. Fluxo: COLICON-CGAD-DAL-CGAD-DIVCOL;
26/06 - Retorno do processo (Marta);
29/06 - Para cadastrar pregão (Antonio);
02/07 - Publicação do Pregão Eletrônico para 03/07/2018 e Abertura da Sessão Pública em 13/07/2018 às 10h;
01/08 - Verificar Relatório de Homologação.
02/08 - Ao DAL para homologação, em seguida à CGOF para empenho e posteriormente à DIVCON para formalização do contrato. Fluxo: DAL-CGOF-CGAD-DIVCON.
</t>
  </si>
  <si>
    <t>25/06 - Entrada do Processo na DIVCOL.
26/06 - Para solicitar adesão, via sistema, adaptar a minuta de contrato e elaborar Despacho (Elizabete)
06/07 - Para cadastrar no sistema solicitação de adesão a ata (Carol)
09/07 - Para cadastrar no sistema solicitação de adesão a ata (Antonio)
13/07 - Foi solicitada a Adesão ao Órgão Gerenciador em 13/07/2018.
25/07 - Ao DAL para autoziação, com envio posterior à CGOF para emissão da D.O e empenho e em seguida à DIVCON para providências pertinentes. Fluxo: DAL-CGOF-CGAD-DIVCON.</t>
  </si>
  <si>
    <t>Aquisição - Equipamentos operacionais para contramedidas de vigilância técnica (Escanner) - PLANO RIO</t>
  </si>
  <si>
    <t>28/2018</t>
  </si>
  <si>
    <t>Elaborar despacho de encaminhamento para envio à ASJUR (André);
04/06 - Para revisar Despacho (Carol);
05/06 - À COLICON para revisão do Despacho com desitino final à ASJUR para Parecer. Fluxo: COLICON-CGAD-DAL-ASJUR;
15/06 - Retorno do processo;
15/06 - Para resolver pendências apontadas no Parecer da ASJUR (André);
06/08 - Enviado ofício à ASBIN;</t>
  </si>
  <si>
    <t>Filipe</t>
  </si>
  <si>
    <t>1515/2018</t>
  </si>
  <si>
    <t>1532/2018</t>
  </si>
  <si>
    <t>Aquisição - Água mineral</t>
  </si>
  <si>
    <t>SEAC</t>
  </si>
  <si>
    <t>48/2018</t>
  </si>
  <si>
    <t>1134/2017</t>
  </si>
  <si>
    <t>05/06 - Elaboração de despacho para ASJUR;
05/06 - Para revisão de edital, anexos e Despacho (Carol);
07/06 - Para ajustes (Marta);
07/06 - Solicitação de TR assinado ao requisitante;
08/06 - Para análise e encaminhamento à ASJUR (Carol);
11/06 - À COLICON para revisão de edital com desitino final à ASJUR para Parecer. Fluxo: COLICON-CGAD-DAL-ASJUR;
27/06 - Retorno do processo;
27/06 - Para elaborar Despacho de apontamento (Marta);
03/07 - Despacho de apontamento pronto (Carol);
05/07 - Ao DAL para autorização do certame. Fluxo: COLICON-CGAD-DAL-CGAD-DIVCOL;
06/07 - Retorno do processo;
09/07 - Para cadastrar pregão (Antonio);
11/07 - Publicação do Pregão para dia 13/07/2018 e Sessão Pública dia 25/07/2018 às 14h;
09/08 - Verificar Relatório de Homologação;
13/08 - Pregão homologado;
14/08 - À DIVCON para formalização da Ata e providências pertinentes;</t>
  </si>
  <si>
    <t>1554/2018</t>
  </si>
  <si>
    <t>Curso - Inscrição dos sevidores Alexandre de Oliveira Pasiani, André Luis de Souza, Fabrício Cardoso de Paiva e Fernado Almir Nascimento Júnior no curso ISS World Training North America</t>
  </si>
  <si>
    <t>1534/2018</t>
  </si>
  <si>
    <t>Curso - Inscrição dos sevidores Thiago Costa Cavalcante e Cláudio Heringer no evento CHES 2018</t>
  </si>
  <si>
    <t>1566/2018</t>
  </si>
  <si>
    <t>Aquisição - Pistolas Luger 9mm</t>
  </si>
  <si>
    <t>1571/2018</t>
  </si>
  <si>
    <t>Aquisição - Prendendor e protetor de crachá</t>
  </si>
  <si>
    <t>1567/2018</t>
  </si>
  <si>
    <t>Aquisição - Material de proteção e segurança</t>
  </si>
  <si>
    <t>Curso - Contratação de empresa para ministrar curso de grafologia</t>
  </si>
  <si>
    <t>Aquisição - Café e açúcar (agricultor familiar) - Chamaneto público</t>
  </si>
  <si>
    <t>1569/2018</t>
  </si>
  <si>
    <t>Curso - Inscrição dos servidores Antônio Luiz Alves da Silva e Sebastião Franklin da Silveira Sobrinho no curso sobre Retenção na Fonte de Tributos e Contribuições Sociais nas contratações de bens e serviços</t>
  </si>
  <si>
    <t>1574/2018</t>
  </si>
  <si>
    <t>Curso - Inscrição do servidor José Augusto de Jeus Júnior no evento OTRS Administrador Training</t>
  </si>
  <si>
    <t>1582/2018</t>
  </si>
  <si>
    <t>Curso - Inscrição do servidor Filipe Rocha Martins Soares no evento de Direito Internacional Penal, em Haia/Holanda</t>
  </si>
  <si>
    <t>Processo encontra-se com a COSERGE para execução das atividades de intergante técnico
16/05 - Elaborar edital (Mariângela);
25/05 - Análise de Edital e Despacho de encaminhamento (Carol);
25/05 - Documentos revisados (Carol);
28/05 - À COLICON para revisão de edital com desitino final à ASJUR para Parecer. Fluxo: COLICON-CGAD-DAL-ASJUR;
29/06 - Retorno do processo;
03/07 - Para elaborar Despacho de apontamento (Mariângela);
03/07 - Despacho de apontamento (Carol);
05/07 - Ao DAL para autorização do certame. Fluxo: COLICON-CGAD-DAL-CGAD-DIVCOL;
13/07 - Emissão de DO;
18/07 - Publicação - Pregão nº 30/2018  - Sessão Pública dia 1º/08/2018 - 10h;
03/08 - Aguardando documentação (Proposta e Habilitação) original, prazo até 08/08. (Mariângela)
09/08 - Elaborando Despacho de homologação (Mariângela);
15/08 - Análise do Despahco de Homologação (Carol);
15/08 - Ao DAL para homologação;
16/08 - À CGOF para empenho;</t>
  </si>
  <si>
    <t>24/05 - Entrada do Processo na DIVCOL;
24/05 - Para análise dos documentos (Mariângela);
08/06 - Para análise do despacho de encaminhamento (Carol);
08/06 - Para solicitar ao requiistante o envio à empresa da minuta de contrato e TR (Mariângela);
08/06 - Enviado e-mail ao requisitante solicitando submeter a minuta de Contrato e TR à análise prévia da contratada (Mariangela);
13/06 - Requisitante solicitou autorização para o envio do TR;
21/06 - Retorno do requisitante com a aprovação da minuta de contrato pela empresa;
21/06 - Para análise dos documentos (Mariângela);
21/06 - Para análise do despacho de encaminhamento à ASJUR (Carol);
25/06 - À COLICON para revisão do Despacho, com destino final à ASJUR para parecer. Fluxo: COLICON-CGAD-DAL-ASJUR;
09/07 - Retorno do Processo;
12/07 - Processo físico encaminhado ao Alexandre Paisani/CEPESC para responder apontamentos da ASJUR;
17/07 - Processo retornou a DIVCOL para continuidade. (Mariângela);
19/07 - Foi enviado e-mail ao requisitante (Sr. Alexandre Paisani/CEPESC) complementação de informaçãoes para responder apontamentos das ASJUR;
23/07 - Requisitante (Sr. Alexandre Paisani/CEPESC) encaminhou as informações solicitadas;
24/07 - À COLICON para revisão do Despacho de apontamento e posterior encaminhamento para ratificação do DG. Fluxo: COLICON-CGAD-DAL-SPG-DG-DAL-CGAD-DIVCOL;
26/07 - Retorno do Processo à COLICON;
31/07 - À DIVCOL para dar continuidade ao processo;
03/08 - Para emissão de D.O;
08/08 - À Divcol para correção do Despacho;
08/08 - Para ratificação do DG. Fluxo: COLICON-CGAD-DAL-DG;
09/08 - Retorno do processo;
10/08 - Para publicar Dispensa (Evando);
13/08 - Publicada (Evando); 
13/08 - Para dar continuidade ao processo (Carol);
13/08 - À CGOF para empenho;
16/08 - À DIVCON para formalização do contrato;</t>
  </si>
  <si>
    <t>24/07 - Para dar andamento ao processo (Valter)
26/07 - Enviado email a SEGO, Falta pesquisa no painel de preços (Vital)
01/08 - Recebido pesquisa do painel de preços
06/08 - Para dar continuidade ao processo (Carol);
06/08 - Para emissão de D.O;
10/08 - Retorno do processo;
10/08 - Para cadastrar Dispensa e elaborar Despacho
14/08 -  Elaborardo  Despacho e cadastrada a Dispensa e enviado para dar continuidade ao processo (Carol);
14/08 - Para autorização da contratação, empenho e, em seguida, à DIVCON para providências pertinentes;
17/08 - Retorno do processo;
17/08 - À CGOF para empenho;</t>
  </si>
  <si>
    <t xml:space="preserve">Aguardando a emissão da Declaração Orçamentária;
16/05 - Para executar cotação eletrônica (Evando);
22/05 - Cotação eletrônica cadastrada (Evando);
25/05 - Cotação eletrônica em análise (Evando);
29/05 -  Cotação 26/2108, orçamento encaminhado para o requisitante para análise (Evando);
30/05 - Cotação 27/2018, orçamentos encaminhado para o requisitante para análise (Evando);
07/06 - Para dar continuidade ao processo (Carol) ;
11/06 - Para ajustes (Evando);
11/06 - Processo concluído. Destino DAL para homologação com posterior envio à CGOF para emissão de empenho. Fluxo: COLICON-CGAD-DAL-CGOF-CGAD-DIVCON;
20/06 - DIVAL solicitou repetição da cotação para aquisição de itens fracassados na cotação anterior;
20/06 - Para solicitar o processo  à DIVCON e elaborar Despacho de D.O (Evando);
04/07 - O processo físico ainda não se encontra na DIVCOL, aguardando posicionamento da DIVCON;
17/08 - A cotação 45/2018 foi cadastrada para tenativa de aquisição dos itens remanescentes das cotações anteriores. Com exceção do item 4, ous demais itens lograram sucesso. Ao DAL para homologação, em seguida à CGOF para empenho e posteriormente à DIVCON para providências pertinentes;
 para dar continuidade ao processo (Evando);
11/07 - O processo se encontra no pagamento 
(Herman);
13/07 - Para dar continuidade ao processo (Carol);
13/07 - Para emissão de D.O.;
20/07 - cotação eletrônica - cadastrada no sistema (Evando);
24/07 - Cotação eletrônica 45/2018 - encerrada
25/07 - Fase de negociação (Evando)
01/08 - Foi encaminhado e-mail  à COMAP, para análise dos orçamentos (Evando); 
06/08 - Processo fisico, encaminhado ao servidor Herman,  para pagamento;
08/08 - Retorno do processo à DIVCOL, para dar continuidade (Evando);
13/08 - Cotação adjudicada (Evando);
17/08 - Para dar continuidade ao processo (Carol);
</t>
  </si>
  <si>
    <t xml:space="preserve">16/08 - Entrada do Processo na DIVCOL;
16/08 - Para Ratificação do DG. Fluxo: COLICON-CGAD-DAL-DG;
17/08 - Para dar continuidade ao processo (Carol);
17/08 - À CGOF para empenho, com destino final à DIVCON para providências pertinentes;
</t>
  </si>
  <si>
    <t xml:space="preserve">15/08 - Entrada do Processo na DIVCOL;
16/08 - Para elaboração do Despacho (Fátima);
16/08 - Para revisão do Despacho e consulta ao CADIN (Evando);
16/08 - Para ratificação. Fluxo: COLICON-CGAD-DAL-DG;
17/08 - Para dar continuidade ao processo (Carol);
17/08 - À CGOF para empenho, com destino final à DIVCON para providências pertinentes;
</t>
  </si>
  <si>
    <t>1065/2018</t>
  </si>
  <si>
    <t>1585/2018</t>
  </si>
  <si>
    <t>Curso - Inscrição dos servidores Agnaldo Santos da Silva e Lucimeire Passos Borges Ribeiro no curso Prático Folha de Pagamentp aplicada ao sistema SIAPE.</t>
  </si>
  <si>
    <t>1591/2018</t>
  </si>
  <si>
    <t>Curso - Inscrição dos servidores Eduardo Dotto Brand e Douglas Cardoso Nogueira no evento DevOps World</t>
  </si>
  <si>
    <t>1590/2018</t>
  </si>
  <si>
    <t>Curso - Inscrição do servidor Daniel de Andrade Cunha no evento OTRS Administrador Training</t>
  </si>
  <si>
    <t>Curso - Gestão de risco corporativo para ministrar curso de planejamento em segurança eletrônica</t>
  </si>
  <si>
    <t>Sabrina</t>
  </si>
  <si>
    <t>Aquisição - Solução de segurança para ambiente virtualizado (Plano Rio)</t>
  </si>
  <si>
    <t>14/05 - Elaborar Despacho de Apontamento;
15/05 - Para aprovação do DAL;
16/05 - Para exeução do pregão (Antonio)
Abertura da sessão 29/05;
23/05 - Necessidade de revisão da planilha e republicação do pregão (Antonio);
11/06 - Para ajustes finais (Antonio);
15/06 - Para revisão (Carol);
20/06 - Para ajustes (Antonio);
25/06 - Para atualização da DO;
26/06 - Evento de alteração publicado. Data de abertura da sessão pública: 11/07, às 10 horas;
13/08 - Para dar continuidade ao pregão (Filipe);
20/08 - Para homologação;
23/08 - Retorno do processo;
23/08 - À DIVCON para formalização do contrato;</t>
  </si>
  <si>
    <t>1642/2018</t>
  </si>
  <si>
    <t>Serviço MDO - Contratação de apoio administrativo</t>
  </si>
  <si>
    <t>SEPA</t>
  </si>
  <si>
    <t>22/2018</t>
  </si>
  <si>
    <t>25/07 - Recebido na COLICON;
30/07 - Para dar andamento ao processo (Evando);
31/07 - À ESINT para complementação;
07/08 - Retorno do processo;
07/08 - Para análise e elaboração de Despacho (Evando);
08/08 - Foi enviado e-mail a Diretora/DAL para providências, junto a Unidade Requisitane - proposta vencida (Evando);
09/08 - Atendida solicitação (Evando);
10/08 - Para dar continuidade ao processo (Carol);
10/08 - Para emissão de D.O;
14/08 - Retorno do processo;
14/08 - Para cadastrar inexigibilidade e elaborar Despacho (Evando);
15/08 - Para dar continuidade ao processo (Carol);
15/08 - Para ratificação do DG. Fluxo: COLICON-CGAD-DAL-DG;
15/08 - Retorno do processo à Divcol, para providências junto à Unidade Requisitante, no sentido de providenciar comprovação de preços (Evando); 
20/08 - Providências atendida (Evando);
20/08 - Para dar continuidade ao processo (Carol);
22/08 - Para ratificação do DG. Fluxo: COLICON-CGAD-DAL-DG; 
23/08 - Retorno do processo;
24/08 - Para cadastar inexigibilidade (Evando); 
24/08 - Para dar continuidade ao processo (Carol):.</t>
  </si>
  <si>
    <t xml:space="preserve">20/08 - Entrada do Processo na DIVCOL;
21/08 - Para analisar os autos e elaborar Despacho (Valter);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
</t>
  </si>
  <si>
    <t>23/2018</t>
  </si>
  <si>
    <t>15/08 - Entrada do Processo na DIVCOL;
16/08 - Para analisar os autos e elaborar Despachos;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</t>
  </si>
  <si>
    <t xml:space="preserve">14/08 - Entrada do Processo na DIVCOL;
14/08 - Analisar os autos e elaborar Despacho;
15/08 - Enviado e-mail para servidora Sandra. Aguardando Declaração de Ciência do fiscal do contrato titular e substituto (Sandra);
20/08 - A servidora Sandra enviou a declaração de Ciência do fiscal do contrato titular e substituto (Valter);
22/08 - Para ratificação do DG. Fluxo: COLICON-CGAD-DAL-DG; 
23/08 - Retorno do processo;
23/08 - Para cadastar inexigibilidade (Valter);
24/08 - Cadastrada a Inex, e encaminhado para que seja dada continuidade ao processo (Carol);
24/08 - À CGOF para empenho, em seguida à DIVCON para providências pertinentes;
</t>
  </si>
  <si>
    <t>25/2018</t>
  </si>
  <si>
    <t>1652/2018</t>
  </si>
  <si>
    <t>Serviço -Serviço móvel de emergência pré-hospitalar</t>
  </si>
  <si>
    <t>1650/2018</t>
  </si>
  <si>
    <t>Aquisição -Equipamento de informática Hardware</t>
  </si>
  <si>
    <t>1649/2018</t>
  </si>
  <si>
    <t>Serviço - Lavanderia</t>
  </si>
  <si>
    <t>26/2018</t>
  </si>
  <si>
    <t>18/07 - Entrada do processo na COLICON;
31/07 - Para dar continuidade ao processo (Carol)
03/08 - Para ajustes (Evando);
07/08 - À COLICON para revisão de Despacho e envio à ASJUR. Fluxo: COLICON-CGAD-DAL-ASJUR;
17/08 - Retorno do processo;
17/08 - Para elaborar Despacho de Ratificaçao (Evando);
22/08 - Para dar continuidade ao processo (Carol);
22/08 - Para ratificação do DG. Fluxo: COLICON-CGAD-DAL-DG; 
23/08 - Retorno do processo;
24/08 - Para cadastar inexigibilidade (Evando); 
24/08 - Inexigibilidade cadastrada (Evando);
27/08 - Inexigibilidade publicada (Evando);
27/08 - Para dar continuidade ao processo (Carol);
27/08 - À CGOF para emissão de empenho . Após, processo será encaminhado à DIVCON para providências pertinentes. Fluxo: CGOF-CGAD-DIVCON;</t>
  </si>
  <si>
    <t>07/08 - Entrada do Processo na DIVCOL;
07/08 - Analisar os autos e elaborar Despacho (Valter);
13/08 - Para verifcar modalidades de pagmento (Carol);
14/08 - Para elaborar Despacho (Valter);
14/08 - Para dar continuidade ao processo (Carol);
15/08 - Para solicitar ao requisitante quem será o fiscal do contrato (Valter);
15/08 - Enviado e-mail para servidora Sandra. Aguardando Declaração de Ciência do fiscal do contrato titular e substituto (Sandra);
21/08 - Em resposta ao email, recebi as declarações de Ciência do fiscal do contrato titular e substituto (Valter);
21/08 - Confeccionado Despacho de Ratificação. Encaminhado para dar continuidade ao processo (Carol);
22/08 - Para ratificação do DG. Fluxo: COLICON-CGAD-DAL-DG; 
23/08 - Retorno do processo;
23/08 - Para cadastar inexigibilidade (Valter); 
24/08 - Cadastrada inexigibilidade;
27/08 - Para dar continuidade ao processo (Carol);
27/08 - À CGOF para emissão de empenho e fechamento do Câmbio . Após, processo será encaminhado à DIVCON para providências pertinentes. Fluxo: CGOF-CGAD-DIVCON;</t>
  </si>
  <si>
    <t>14/08 - Entrada do Processo na DIVCOL;
14/08 - Analisar os autos e elaborar Despacho;
20/08 - Foi enviado e-mail ao DGP, para  providências;
20/08 - Providências atendidas (Evando);
21/08 - Para dar continuidade ao processo (Carol);
22/08 - Para ratificação do DG. Fluxo: COLICON-CGAD-DAL-DG;
23/08 - Retorno do processo;
24/08 - Para cadastar inexigibilidade (Evando); 
24/08 - Inexigibilidade cadastrada (Evando);
27/08 - Inexigibilidade publicada (Evando);
27/08 - Para dar continuidade ao processo (Carol);
27/08 - À CGOF para emissão de empenho e fechamento do Câmbio . Após, processo será encaminhado à DIVCON para providências pertinentes. Fluxo: CGOF-CGAD-DIVCON;</t>
  </si>
  <si>
    <t xml:space="preserve">31/07 - Entrada do Processo na DIVCOL;
07/08 - Para solicitar adesão no sistema e elaborar Despacho (Eduardo);
23/08 - Para revisão do Despacho;
27/08 - À COLICON para revisão do Despacho. Processo seguirá para o DAL para aprovação, em seguida à CGOF para emissão de D.O e empenho e, por fim, à DIVCON para providências cabíveis. Fluxo: COLICON-CGAD-DAL-CGOF-CGAD-DIVCON;
</t>
  </si>
  <si>
    <t>1484/2018
1660/2018</t>
  </si>
  <si>
    <t>1663/2018</t>
  </si>
  <si>
    <t>1636/2018</t>
  </si>
  <si>
    <t>Curso -Inscrição dos servidores Glauco Costa de Moraes. Guilherme Augusto de Camargo, Ryan de  Sousa e Edson Moura no curso "Terrorism Studies"</t>
  </si>
  <si>
    <t>Aquisição - Compra de munição</t>
  </si>
  <si>
    <t>11/05 - Estudar o tipo de contratação em conjunto com a DIVAL (Marta).
13/06 - Para dar continuidade ao processo (Elizabete).
03/08 - Para dar continuidade (Carol);
23/08 - Os itens serão adquiridos por pregão eletrônico, assim o processe será arquivado;
28/08 - Para elaborar Despacho de arquivamento (Valter);
28/08 - Elaborardo  despacho de arquivamento (Carol);
28/08 - Processo será enviado à COAP no final do ano, conforme solicitação daquela Coordenação;</t>
  </si>
  <si>
    <t>1666/2018</t>
  </si>
  <si>
    <t>Aquisição -Compra de espingardas Pump</t>
  </si>
  <si>
    <t>1547/2018</t>
  </si>
  <si>
    <t>Aquisição - Solução de gestão estratégica</t>
  </si>
  <si>
    <t>16/05 - Para ajustes no edital (Antonio);
24/05 - Verificar Edital e Despacho de Encaminhamento do Edital;
25/05 - À COLICON para revisão de edital com desitino final à ASJUR para Parecer. Fluxo: COLICON-CGAD-DAL-ASJUR;
15/06 - Retorno do processo;
15/06 - Para elaborar Despacho de apontamento (Antonio);
28/06 - Para revisão (Carol);
29/06 - Ao DAL para autorização da abertura da licitação e envio à CGOF para emissão da DO. Fluxo: COLICON-CGAD-DAL-CGOF-CGAD-DIVCOL;
03/07 - Retorno do processo;
03/07 - Para cadastrar pregão (Antonio);
05/07 - Pregão nº 26/2018 - Publicação no DOU em 09/07/2018 e abertura da Sessão Pública dia 19/07/2018 às 10h;
15/08 - Para realizar diligência (Filipe);
30/08 - Para revisar Despacho;
31/08 - para ajustes (Filipe);
31/08 - Para homologação, adequação da D.O e emissão de empenho. Por fim, à DIVCON para formalização de contrato;</t>
  </si>
  <si>
    <t>1695/2018</t>
  </si>
  <si>
    <t>Aquisição - Materiais de copa e cozinha</t>
  </si>
  <si>
    <t>27/2018</t>
  </si>
  <si>
    <t>pregão</t>
  </si>
  <si>
    <t xml:space="preserve">20/08 - Entrada do Processo na DIVCOL;
21/08 - Para analisar os autos e elaborar Despacho (Valter);
21/08 - Foi constatado que estava faltando a Declaração de Ciência do Fiscal do Contrato titular e substituto e encaminhado email ao DGP para que fosse providênciado (Sandra);
22/08 - Recebi a declaração de Ciência  Fiscal do Contrato titular e substituto e elaborei o Despacho de Ratificação;
23/08 - Para dar continuidade ao processo (Carol);
23/08 - Para ratificação. Fluxo: COLICON-CGAD-DAL-DG;
31/08 - Para cadastrar inexigibilidade (Valter);
31/08 - Cadastrada inexigibilidade;
31/08 - Para dar continuidade ao processo (Carol);
03/09 - À CGOF para empenho, com destino final à DIVCON para providências pertinentes;
</t>
  </si>
  <si>
    <t xml:space="preserve">20/08 - Entrada do Processo na DIVCOL;
21/08 - Para analisar os autos e elaborar Despacho (Evando);
28/08 - Para dar continuidade ao processo (Carol);
29/08 - Para ajustar Despacho (Evando);
29/08 -  Para dar continuidade (Carol);
29/08 - Para ratificação. Fluxo: COLICON-CGAD-DAL-DG-DAL-CGAD-DIVCOL;
31/08 - Retorno do Processo;
31/08 - Para cadastrar inexigibilidade (Evando);
03/09 - Para dar continuidade ao processo (Carol);
03/09 - À CGOF para empenho, com destino final à DIVCON para providências pertinentes;
</t>
  </si>
  <si>
    <t>1706/2018</t>
  </si>
  <si>
    <t>Aquisição - Recarga de extintor de incêndio</t>
  </si>
  <si>
    <t>Aquisição - Água Mineral</t>
  </si>
  <si>
    <t>COENG
SEBA</t>
  </si>
  <si>
    <t>1699/2018</t>
  </si>
  <si>
    <t>Curso - Inscrição da servidora Maria Rosileide Barbosa Pereira no curso de Gestão, Fiscalização e Execução de Contratos</t>
  </si>
  <si>
    <t>1697/2018</t>
  </si>
  <si>
    <t>Curso - Inscrição dos servidores William Robert e Felipe Guimarães no curso de Desfazimento de Bens móveis</t>
  </si>
  <si>
    <t>1712/2018</t>
  </si>
  <si>
    <t>Curso - Inscrição do servidor Ricardo França Roveri no Congesso Nacional; Noções Avançadas do Processo Logístico</t>
  </si>
  <si>
    <t>1702/2018</t>
  </si>
  <si>
    <t>Curso - Inscrição dos servidores Eduardo Cunha Castello Branco e Bruno Seixas Noronha no XXIII Annual Meeting of the Latin American</t>
  </si>
  <si>
    <t>04/07 - Entrada do Processo na DIVCOL.
05/07 - Para elaborar Termo de Ciência de integrante administrativo, solicitar à unidade requisitante o envio do Termo de Ciência do integrante requisitante e, posteriormente, elaborar Despacho de designação de equipe de planejamento (Valter)
05/07 - Foi solicitado ao requisitante o envio do Termo de Ciência do integrante requisitante (Flávio)
09/07 - Foi elaborado Termo de Ciência de integrante administrativo e Despacho de designação de equipe de planejamento (Carol)
09/07 - Para designação da equipe de planejamento. Fluxo: COLICON-CGAD-DAL-CGAD-DIVCOL.
10/07 - Retorno do processo.
10/07 - Para exercer as atribuições de integrante administrativo e elaborar edital (Antonio)
24/07- Foi encaminhado para o requisitante (via email) TR, Mapa de Risco e Estudos Preliminares para serem devolvidos até o dia 03/08/18.
14/08 - A unidade requisitante informou que trata-se de uma adesão à ata;
16/08 - Para solicitar adesão à ata no sistema, analisar os autos e elaborar Despacho (Mariângela);
27/08 - Despacho de adesão para análise (Carol);
27/08 - À COLICON para revisão do Despacho. Processo seguirá para o DAL para aprovação, em segui à CGOF para emissão de D.O e empenho e, por fim, à DIVCON para providências cabíveis. Fluxo: COLICON-CGAD-DAL-CGOF-CGAD-DIVCON;
04/09 - Retorno do Processo;
04/09 - À CGOF para empenho;</t>
  </si>
  <si>
    <t>24/07 - Entrada do processo na COLICON;
24/07 - Para dar andamento ao processo (Valter);
07/08 - À COLICON para revisão com destino final a ASJUR. Fluxo: COLICON-CGAD-DAL-ASJUR;
17/08 - Retorno do processo;
17/08 - Para elaborar Despacho (Valter);
20/08 - Confeccionado despacho ao requisitante com questionamentos da ASJUR (Carol);
22/08 - Processo físico encaminhado à unidade requisitante para apresentar justificativas ao apontado pela ASJUR;
27/08 - Retorno do processo;
27/08 - Para elaborar Despacho de D.O;
27/08 - Para dar continuidade ao processo (Carol);
27/08 - À CGOF para emissão de D.O;
30/08 - Retorno do processo;
30/08 - Para ratificação. Fluxo: COLICON-CGAD-DAL-DG; 
04/09 - Retorno do processo;
04/09 - Para cadastar inexigibilidade (Valter);
05/09 - Cadastrada inexigibilidade (Carol);
05/09 - À CGOF para empenho, posteriormente à DIVCON para providências pertinentes;</t>
  </si>
  <si>
    <t>24/07 - Entrada do processo na COLICON;
24/07 - Para dar andamento ao processo (Evando);
01/08 - Para dar andamento ao processo (Carol);
03/08 - Para ajustes (Evando);
07/08 - À COLICON para revisão com destino final à ASJUR. Fluxo: COLICON-CGAD-DAL-ASJUR;
27/08 - Retorno do processo;
28/08 - Para elaborar Despacho de apontamento (Evando);
30/08 - Para dar continuidade ao processo (Carol);
30/08 - Para ratificação. Fluxo: COLICON-CGAD-DAL-DG;
04/09 - Retorno do processo;
04/09 - Para cadastar inexigibilidade (Evando);
05/09 - Inexigibilidade publicada (Evando);
05/09 - Para dar continuidade ao processo - emitir nota de empenho (Carol);
05/09 - À CGOF para empenho, posteriormente à DIVCON para providências pertinentes;</t>
  </si>
  <si>
    <t>SEPE
SEAP
SECE
SEMT
SEAL</t>
  </si>
  <si>
    <t>1718/2018</t>
  </si>
  <si>
    <t>18/05 - Entrada do processo na DIVCOL;
21/05 - Par análse dos documentos (Valter);
22/05 - Para dar continuidade ao processo (Carol);
22/05 - Processo a ser distribuído (Carol);
24/05 - Para elaborar edital e Despacho (Elizabete);
04/06 - Para revisão do edital, anexos e Despacho (Carol);
11/06 - À COLICON para revisão de edital com desitino final à ASJUR para Parecer. Fluxo: COLICON-CGAD-DAL-ASJUR;
18/06 - Retorno do processo;
19/06 - Para elaborar Despacho de apontamento (Elizabete);
27/06 - Para revisão do Despacho (Carol);
28/06 - Para elaborar o Despacho (Elizabete);
29/06 - Para revisão do Despacho (Carol);
29/06 - Ao DAL para autorização da abertura da licitação e, em seguida, à CGOF para emissão de D.O. Fluxo: COLICON-CGAD-DAL-CGOF-CGAD-DIVCOL.
05/07 - Retorno do processo;
05/07 - Para cadastro do pregão (Elizabete);
06/08 - Para dar continuidade ao pregão (Carol);
07/08 - Para dar continuidade ao pregão (Mariângela);
13/08 - Para dar continuidade ao pregão (Filipe); 
04/09 - Para homologação;
05/09 - Retorno do processo;
06/09 - Para empenho;</t>
  </si>
  <si>
    <t>1732/2018</t>
  </si>
  <si>
    <t>Aquisição - Compra de persianas</t>
  </si>
  <si>
    <t>1587/2018</t>
  </si>
  <si>
    <t>Serviço - Montagem de dispositivo criptográfico portátil</t>
  </si>
  <si>
    <t>02/08 - Entrada do Processo na DIVCOL;
03/08 - Solicitar ao requisitante a indicação do fiscal do contrato, analisar os autos e elaborar Mapa de Risco seleção do fornecedor e Despacho (Evando)
07/08 - Execução do Despacho (Evando);
08/08 - Foi enviado e-mail  ao requisitante para providências, no sentido de informar os dados bancários para tranferência (Evando);
09/08 - O requisitante informou por e-mail que a instituição não aceita pagamento por tranferência bancária e sim por cartão de crédito, e novamente informei ao requisitante que não há possibilidade de tal procedimento (Evando);
16/08 - Para revisar Despacho (Carol);
17/08 - Despacho encaminhado à CGOF para o posicionamento quanto às condições de pagamento apontadas pelo requisitante;
10/09 - O processo foi encaminhado pela Diretora do DAL,  para a servidora Márcia Coelho para providências (Márcia Coelho -GAB);</t>
  </si>
  <si>
    <t>1760/2018</t>
  </si>
  <si>
    <t>10/08 - Entrada do Processo na DIVCOL;
10/08 - Analisar os autos e elaborar Despacho de D.O;
24/08 - Encaminhei email para SEAC, com alguns questionamentos (Samuel);
27/08 - Recebi email  com respostas aos questionamentos;
29/08 - Encaminhado para dar continuidade ao processo (Carol);
30/08 - Para emissão de D.O;
04/09 - Retorno do processo;
04/09 - Para elaborar Despacho e cadastrar Dispensa (Valter);
05/09 - Elaborado Despacho de Dispensa;
05/09 - para dar continuidade ao processo (carol);
11/09 - Para empenho, em seguida à DIVCON para providências pertinentes;</t>
  </si>
  <si>
    <t>39/2018</t>
  </si>
  <si>
    <t>35/2018</t>
  </si>
  <si>
    <t>36/2018</t>
  </si>
  <si>
    <t>Processo parado por pendência do requisitante;
10/09 - COENG informou que o processo será arquivado:
10/09 - Solicitar à COENG declaração por e-mail quanto ao arquivamento do processo (Antonio);</t>
  </si>
  <si>
    <t>02/2018</t>
  </si>
  <si>
    <t xml:space="preserve">14/08 - Entrada do Processo na DIVCOL;
15/08 - CGAD encaminhou processo para COMAP para verificar disponibilidade de estoque;
22/08 - Retorno do processo;
23/08 - Para solicitar a adesão por meio do sistema e elaborar Despacho;
11/09 - Para análise do despacho de adesão à ata de registro de preço (Carol);
11/09 - Para solicitar ao requisitante uma nova autorização da empresa (Sabrina);
12/09 - Requisitante enviou a nova autorização da empresa. Para análise do despacho de adesão à ata de registro de preço (Carol);
12/09 - Para autorização, D.O, empenho e, por fim, à DIVCON para providências pertinentes;
</t>
  </si>
  <si>
    <t>41/2018</t>
  </si>
  <si>
    <t xml:space="preserve">04/09 - Entrada do Processo na DIVCOL;
04/09 - Para analisar os autos e elaborar Despacho (Valter);
05/09 - Elaborado Despacho;
06/09 - para dar continuidade ao processo (carol); 
10/9 - Para dar continuidade ao processo (Carol);
11/09 - Para ratificação;
11/09 - Para cadastar inexigibilidade (Evando);
12/09 - Inexigibilidade cadastrada(Evando);
12/09 - Para dar continuidade ao processo - emitir nota de empenho (Carol);
12/09 - À CGOF para emissão de empenho, e, em seguida, à DIVCON para providências pertinentes;
</t>
  </si>
  <si>
    <t xml:space="preserve">04/09 - Entrada do Processo na DIVCOL;
04/09 - Para analisar os autos e elaborar Despacho (Evando);
06/09 - Para elaborar Despacho (Eduardo/SEPB);
10/09 - Para dar continuidade ao processo (Carol);
11/09 - Para ratificação. Fluxo: DAL-SPG-DIVCOL;
11/09 - Para cadastar inexigibilidade (Evando);
12/09 - Inexigibilidade cadastrada (Evando);
12/09 - Para dar continuidade ao processo - emitir nota de empenho e fechamento de câmbio (Carol);
12/09 - À CGOF para emissão de empenho e fechamento do Câmbio e, em seguida, à DIVCON para providências pertinentes;
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</si>
  <si>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12/09 -Para dar continuidade ao processo - emitir nota de empenho (Carol);
12/09 - À CGOF para emissão de empenho e, em seguida, à DIVCON para providências pertinentes;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</si>
  <si>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 Para dar continuidade ao processo - emitir nota de empenho (Carol);
12/09 - À CGOF para emissão de empenho e, em seguida, à DIVCON para providências pertinentes;</t>
  </si>
  <si>
    <t>1770/2018</t>
  </si>
  <si>
    <t>Aquisição - Revólver Taurus 76 mm</t>
  </si>
  <si>
    <t>0028/2018
51/2018</t>
  </si>
  <si>
    <t>Valor estimado</t>
  </si>
  <si>
    <t xml:space="preserve">Aquisição - Fonecimento e instalação de piso </t>
  </si>
  <si>
    <t>37/2018</t>
  </si>
  <si>
    <t>1719/2018</t>
  </si>
  <si>
    <t>Aquisição - Câmera de vídeo para monitoramento de segurança</t>
  </si>
  <si>
    <t>53/2018</t>
  </si>
  <si>
    <t>17/05 - Revisão de edital (Carol);
18/05 - À COLICON para revisão de edital com desitino final à ASJUR para Parecer. Fluxo: COLICON-CGAD-DAL-ASJUR;
13/06 -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cadastrar pregão (Mariângela);
25/06 - Pregão lançado - Data de Abertura: 10/07 - 10 horas (Pregoeira Elizabete);
06/08 - Para dar continuidade ao pregão (Carol);
07/08 - Para dar continuidade ao pregão (Mariângela);
13/08 - Para dar continuidade ao pregão (Filipe);
10/09 - Para finalizar processo (Bete);
18/09 - Pregão homologado. À DIVCON para formalização da ata;</t>
  </si>
  <si>
    <t>Curso - Inscrição dos servidores Squaldo Chianelli, Érika Silvana e Gilvann no XVIII Congresso Nacional de arquivologia</t>
  </si>
  <si>
    <t>1798/2018</t>
  </si>
  <si>
    <t>1810/2018</t>
  </si>
  <si>
    <t>Aquisição - Aparelho e material de comunicação (rádio comunicador portátil)</t>
  </si>
  <si>
    <t>52/2018</t>
  </si>
  <si>
    <t>Subfase</t>
  </si>
  <si>
    <t>Resultado da Licitação</t>
  </si>
  <si>
    <t>934/2018</t>
  </si>
  <si>
    <t>Aquisição - Solução de fusão de dados (Django - Plano Rio)</t>
  </si>
  <si>
    <t>1823/2018</t>
  </si>
  <si>
    <t>Serviço - serviço telefônico comutado</t>
  </si>
  <si>
    <t>1822/2018</t>
  </si>
  <si>
    <t>Aquisição - Contratação de engenharia pericial</t>
  </si>
  <si>
    <t>Imóvel - Locação de imóvel</t>
  </si>
  <si>
    <t xml:space="preserve">10/08 - Entrada do Processo na DIVCOL;
10/08 - Para analisar os autos (Evando);
28/08 - Para dar continuidade ao processo (Carol);
29/08 - Para solicitar ao requisitante complementação da justificativa do preço (Evando);
29/08 - Foi encaminhado ao requisitante e-mai para providências (Evando);
31/08 - Para esclarecer situação com o requisitante (Carol);
03/09 - Esclarecida situação com o requisitante;
03/09 - À ASJUR para Parecer. Fluxo: COLICON-CGAD-DAL-ASJUR;
17/09 - Retorno do processo;
17/09 - Para elaborar Despacho (Sabrina);
18/09 - Para revisão (Carol);
18/09 - Para ratificação. Fluxo: COLICON-CGAD-DAL-SPG;
20/09 - Retorno do processo;
21/09 - Para cadastrar inexigibilidade (Evando);
24/09 - Inexigibilidade cadastrada (Evando);
24/09 - Para dar continuidade ao processo - emitir nota de empenho (Carol);
24/09 - Para empenho, em seguida à DIVCON para providências pertinentes;
</t>
  </si>
  <si>
    <t>1831/2018</t>
  </si>
  <si>
    <t>1693/2018</t>
  </si>
  <si>
    <t>Processo encontra-se com o Administrativo para elaboração de Despacho de D.O;
16/05 - Para elaborar edital (Antonio);
30/05 - Considerando o volume de processos com o servidor, o processo será redistribuído (Carol);
01/06 - Para elaboração de edital (Elizabete);
15/06 - Para revisão do edital (Carol);
19/06 - Para revisar edital e despacho com destino final à ASJUR para Parecer. Fluxo: COLICON-CGAD-DAL-ASJUR;
03/07 - Retorno do processo;
06/07 - Para elaborar Despacho de apontamento (Elizabete);
20/07 - Para execução do pregão (Elizabete);
03/08 - Para dar continuidade ao pregão (Carol);
07/08 - Para dar continuidade ao pregão (Mariângela);
13/08 - Para dar continuidade ao pregão (Filipe);
24/09 - Para homologação (DAL);</t>
  </si>
  <si>
    <t>1759/2018</t>
  </si>
  <si>
    <t>Aquisição - Projeto Vigilância Remota (Licença de acesso)</t>
  </si>
  <si>
    <t>1106/2018</t>
  </si>
  <si>
    <t>1224/2018</t>
  </si>
  <si>
    <t xml:space="preserve">03/08 - Entrada do Processo na DIVCOL;
07/08 - Solicitar Memorando de Pedido de Serviço de Terceiros, justificativa para não utilização do Painel esse o processo se trata apenas de contratação de serviço (Evando);
10/08 - E-mail enviado a Unidade Requisitante, para providências (Evando); 
20/08 - Aguardando da Unidade Requisitante,  novo memorando, justificativa painel de preços e declaração de ciência (Evando);
27/08 - O Processo nº 1660/2018 foi aberto equivocadamente, pois os documentos encaminhados pela unidade requisitante eram para complementar as informações do Processo nº 1484/2018;
11/09 - Para dar continuidade ao processo - emissão de D.O (Carol);
11/09 - À CGOF para D.O;
17/09 - Retorno do processo
17/09 - Para cadastrar a Dispensa (Evando);
19/09 - Dispensa  análisada e cadastrada(Evando);
19/09 - Para dar continuidade ao processo(Carol);
20/09 - Para aprovação, empenho e, em seguida, à DIVCON para porvidências pertinentes;
25/09 - À DIVCOL para correção (Evando);
25/09 - Para dar continuidade ao processo (Carol);
25/09 - Para aprovação, empenho e, em seguida, à DIVCON para porvidências pertinentes;
</t>
  </si>
  <si>
    <t>1841/2018</t>
  </si>
  <si>
    <t>1849/2018</t>
  </si>
  <si>
    <r>
      <t xml:space="preserve">Curso - Incrição do servidor Rodrigo Teperino no evento </t>
    </r>
    <r>
      <rPr>
        <i/>
        <sz val="8"/>
        <rFont val="Arial"/>
        <family val="2"/>
      </rPr>
      <t>"Gatner Symposiim IIXPO</t>
    </r>
    <r>
      <rPr>
        <sz val="8"/>
        <rFont val="Arial"/>
        <family val="2"/>
      </rPr>
      <t>"</t>
    </r>
  </si>
  <si>
    <t>Curso - Inscrição das servidoras Glaucia Moura de Santana e Núbia Dias Pereira no evento Practitioner em Programação Neurolinguística</t>
  </si>
  <si>
    <t>Mourão</t>
  </si>
  <si>
    <t>24/05 - Entrada do Processo na DIVCOL;
25/05 - Para elaboração de Termo de Ciência do itengrante Administrativo e Despacho de designação da equipe de planejamento (Valter);
25/05 - Para dar continuidade ao processo (Carol);
25/05 - Para designação da equipe de planejamento. Fluxo: COLICON-CGAD-DAL-CGAD-DIVCOL;
28/05 - Retorno do processo;
29/05 - Para executar as funções de integrante administrativo e elaborar edital (Antonio);
20/06 - Requisitante encaminhou o TR, modelo de vistoria e dispensa de vistoria. Mapa de risco e Estudos preliminar foram encaminhados junto com o DFD;
16/08 - Para dar continuidade ao processo (Mariângela);
30/08 - Enviado e-mail ao requisitante (Flávio/Coeng) solicitando adequação no TR devido divergência com a minuta padrão da AGU (Mariângela);
11/09 - Recebido o Termo de Referência com as alterações necessárias. Será dado prosseguimento a elaboração da minuta do Edital Mariângela);
13/09 - Para revisão do Edital e do Despacho de encaminhamento (Carol);
19/09 - Para solicitar ao requisitante proposta de empresa e adequar documentos, uma vez que o valor está dentro do limite para Dispensa (Antonio);
20/09 -  Foi encaminhado email para o requisitante solicitando pesquisar pelo menos 03 (três) propostas, de modo que estejam alinhadas com os critérios do Certame e assim, seja escolhida a de menor preço;</t>
  </si>
  <si>
    <t>Aquisição - Projeto sala de aula interativa de auto desempenho</t>
  </si>
  <si>
    <t>05/06 - E-mail encaminhado à órgão participante;
07/06 - E-mail ao requisitante para assinar TR;
13/06 - Para dar continuidade ao processo (Elizabete);
21/06 - Para revisão do edital (Carol);
21/06 - Para ajustes (Elizabete);
21/06 - Para revisão (Carol);
22/06 - Para revisão do edital e envio à ASJUR para parecer. Fluxo: COLICON-CGAD-DAL-ASJUR;
12/07 - Retorno do processo;
13/07 - Ao DAL para autorização da abertura da licitação. Fluxo: COLICON-CGAD-DAL-CGAD-DIVCOL;
16/07 - Para cadastrar pregão (Elizabete);
Pregão agendado para o dia 08/08, às 10 horas;
03/08 - Para dar continuidade ao processo (Carol);
07/08 - Para operar pregão (Mariângela);
13/08 - Para dar continuidade ao pregão (Filipe);
26/09 - Para homologação;
26/09 - Pregão homologado. À DIVCON para formalizar a ata de registro de preços;</t>
  </si>
  <si>
    <t>1865/2018</t>
  </si>
  <si>
    <t>Curso - Inscrição do servidor Bruno Zamora Teoro no curso de Gestão de Crise e Reputação</t>
  </si>
  <si>
    <t>1859/2018</t>
  </si>
  <si>
    <t>Curso - Inscrição dos servidores Gibran Agype Mota e Leandro Lara Ribeiro no evento "2018 Governance &amp; Anticorruption Methods Effective Policy and Enforcement"</t>
  </si>
  <si>
    <t>06/09 - Entrada do Processo na DIVCOL;
11/09 - Para analisar os autos e elaborar Despacho de D.O;
18/09 - Cotação Cadastrada - abertura-19/09-encerramento -21/09/2018 (Evando);
18/09 - Para dar continuidade ao processo - emitir D.O (Carol);
18/09 - Para D.O;
26/09 - Foi enviado e-mail a Unidade Requisitante para análise do orçamento (Evando);
27/09 - Para dar continuidade ao processo (Carol);
27/09 - Para aprovação da contratação, empenho, com destino final à DIVCON para providências pertinentes;</t>
  </si>
  <si>
    <t>54/2018</t>
  </si>
  <si>
    <t xml:space="preserve">28/08 - Entrada do Processo na DIVCOL;
28/08 - Para analisar os autos e elaborar Despacho de encaminhamento à ASJUR (Valter);
31/08 - Para revisar Despacho (Carol);
03/09 - À ASJUR para parecer. Fluxo: COLICON-CGAD-DAL-ASJUR;
21/09 - Retorno do processo;
21/09 - Para elaborar Despacho de apontamento (Eduardo);
21/09 - Para ratificação. Fluxo: COLICON-CGAD-DAL-SPG;
26/09 - Retorno do processo;
27/09 - Para cadastrar inexigibilidade;
28/09 - Inexigibilidade cadastrada e Publicada (Evando);
28/09 - Para dar continuidade ao processo (Carol);
28/09 - Para empenho;
</t>
  </si>
  <si>
    <t>1909 - Entrada do Processo na DIVCOL;
19/09 - Para analisar os autos e elaborar Despacho (Evando);
26/09- Para dar continuidade ao processo (Evando);
27/09 - Para ratificação;
28/09 - Para dar continuidade ao processo - emitir nota de empenho (Carol);
28/09 - Para empenho;</t>
  </si>
  <si>
    <t xml:space="preserve">Aquisição - Móveis planejados </t>
  </si>
  <si>
    <t>1903/2018</t>
  </si>
  <si>
    <t>1924/2018</t>
  </si>
  <si>
    <t>Serviço - Palestra sobre o tema "Cenários para o Brasil em Ambiente Complexo Regional e Mundial".</t>
  </si>
  <si>
    <t>1926/2018</t>
  </si>
  <si>
    <t xml:space="preserve">Curso - Inscrição da servidora Eliana Dantas Mendonça Correira no curso de Intensive 25 de Espanhol </t>
  </si>
  <si>
    <t>1927/2018</t>
  </si>
  <si>
    <t>Curso - Inscrição do servidor César Augusto Freitas da Rocha no curso de Web Design</t>
  </si>
  <si>
    <t>1928/2018</t>
  </si>
  <si>
    <t>1929/2018</t>
  </si>
  <si>
    <t>Curso - Inscrição dos servidores Daniel Teles Salomão e Leonardo Rangel de Melo Filardi no evento "Python Brasil 14"</t>
  </si>
  <si>
    <t xml:space="preserve">23/08 - Entrada do Processo na DIVCOL;
24/08 - Para elaborar Termo de Ciência dos integrantes administrativo e técncio e elaborar Despacho de designação da equipe de planejamento (Valter);
12/09 - A Unidade Requisitante enviou  documentação solicitada pela  DIVCOL (Evando);
17/09 - Para dar continuidade ao processo (Carol);
18/09 - Para designação da equipe de planejamento. Fluxo: COLICON-CGAD-DAL;
20/09 - Retorno do processo;
21/09 - Considerando que este processo não está sinalizado como prioritário para 2018, optei por aguardar o retorno no dia 01/10 do integrante administrativo titular (thiago) do que distribuir para integrante administrativa substituta (Mariângela), que está responsável por processos a serem concluídos este ano;
02/10 - Processo entregue a Coserge/ integrante administrativo titular (Thiago) para dar continuidade;
</t>
  </si>
  <si>
    <t xml:space="preserve">27/09 - Entrada do Processo na DIVCOL;
27/09 - Para analisar os autos e elaborar Despacho (Evando);
02/10 - Para dar continuidade ao processo (Mariângela);
02/10 - À COLICON para revisão e assinaturas. Fluxo: COLICON-CGAD-DAL-DG;
04/10 - Para registro no sistema (Evando);
05/10 - Para dar continuidade ao processo - emitir nota de empenho e fechamento de câmbio (Mariângela);
05/10 - Para CGOF emitir nota de empenho e fechamento de câmbio;
</t>
  </si>
  <si>
    <t>Serviço - Montagem de dispositivo criptográfico - Cripografia de alto desempenho -PCADv3</t>
  </si>
  <si>
    <t>1844/2018</t>
  </si>
  <si>
    <t xml:space="preserve">10/09 - Entrada do Processo na DIVCOL;
10/09 - Para elaborar minuta de contrato e Despacho (Eduardo);
17/09 - Enviado e-mail à requisitante para correções no Projeto Básico (Eduardo);
26/09 - Enviado e-mail à requisitante com minuta de contrato e Projeto Básico para encaminhamento à futura contratada (Eduardo);
27/09 - E-mail recebido da área requisitante informando que a futura contratada manifestou favorável;
03/10 - Enviado Projeto Básico para assinatura do requisitante (Robson/Cepesc);
05/10 - Elaborado Despacho de encaminhamento à ASJUR (Eduardo). Para revisão (Mariangela);
08/10 - À COLICON para revisão com destino final à ASJUR. Fluxo: COLICON-CGAD-DAL-ASJUR;
</t>
  </si>
  <si>
    <t>2013/2018</t>
  </si>
  <si>
    <t>Aquisição - Forno microondas e freezer</t>
  </si>
  <si>
    <t>2015/2018</t>
  </si>
  <si>
    <t xml:space="preserve">14/05 - Solicitar ao requisitante novas pesquisas de preço;
17/05 - Retorno do processo (Carol);
18/05 - Para cadastrar dispensa (Evando);
18/05 - Para dar Continuidade ao Processo (Carol);
18/05 - Processo concluído. Destino DAL para aprovação com posterior envio à CGOF para emissão de empenho. Fluxo: COLICON-CGAD-DAL-CGOF-CGAD-DIVCON;
20/09 - Será elaborado Despacho para ratificação da locação de veículo;
25/09 - Para elaborar Despacho (Sabrina);
05/10 - Para assinaturas no Despacho de convalidação. Fluxo: COLICON-CGAD-DAL-DG;
</t>
  </si>
  <si>
    <t xml:space="preserve">14/08 - Entrada do Processo na DIVCOL;
15/08 - Para analisar os autos e elaborar Despacho de D.O;
22/08 - O  servidor Varella entregou nova documentação, restando ainda o oficio do Exército, no aguardo (Evando);
30/08 - Para dar continuidade ao processo - emissão de D.O (Carol);
31/08 - Para emissão de D.O;
04/09 - Retorno do Processo;
04/09 - Para elaborar Despacho (Evando);
10/09 - Antes da elaboração do Despacho,  é necessário a confecção da minuta de contrato (Carol);
10/09 - Para elaborar minuta de contrato e Despacho (Sabrina);
17/09 - Para revisar minuta de contrato e Despacho (Carol);
20/09 - Para revisar documentos (Jeaner);
21/09 - Encaminhado e-mail ao requisitante solicitanto envio do Termo de Referência e minuta de contrato à empresa para apovação;
03/10 - Fornecedora apontou algumas correções na minuta de contrato. 
04/10 -  À COLICON para revisão, com destino final á ASJUR. Fluxo: COLICON-CGAD-DAL-ASJUR;
</t>
  </si>
  <si>
    <t>1930/2018</t>
  </si>
  <si>
    <t>1960/2018</t>
  </si>
  <si>
    <t>Curso - Inscrição dos servidores Juliana Nicola Kilian, Ricardo França Roveri e Luciana Ehrhardt Campos no evento "Medidas Provisórias"</t>
  </si>
  <si>
    <t>Curso - Inscrição dos servidores Márcio da Mota Ribeiro e Leandro Lara Ribeiro no evento "Forense Comutacional"</t>
  </si>
  <si>
    <t>1978/2018</t>
  </si>
  <si>
    <t>Curso - Inscrição dos servidores Ryan de Souza Oliveira, Guilherme Augusto de Carmargos Rosito, Roberto Tanabe, Fábio Nogueira de Miranda Filho e Luiz Cláudio Borges no evento "Using the internet as na investigative research tool"</t>
  </si>
  <si>
    <t>2025/2018</t>
  </si>
  <si>
    <t>Serviço - emissão de bilhetes de passagens aéreas nacional, internacional e seguro de viagens</t>
  </si>
  <si>
    <t>CGOF</t>
  </si>
  <si>
    <t xml:space="preserve">20/09 - Entrada do Processo na DIVCOL;
20/09 - Para analisar os autos e elaborar minuta de contrato (Sabrina) ;
21/09 - Para revisão da minuta de contrato e Despacho (Carol);
21/09 - Encaminhado e-mail ao requisitante solicitanto envio do Termo de Referência e minuta de contrato à empresa para aprovação;
08/10 - Em contato com a área requisitante recebemos a informação que a empresa solicitou o prazo até o dia 10/10 para resposder o e-mail;
09/10 - Para correção da minuta de contrato e despacho de encaminhamento (Mariângela);
10/10 - A COLICON para revisão, com destino final à ASJUR para Parecer. Fluxo: COLICON-CGAD-DAL-ASJUR;
</t>
  </si>
  <si>
    <t>24/09 - Entrada do Processo na DIVCOL;
25/09 - Para analisar os autos e elaborar minuta de contrato e  Despacho (Sabrina);
28/09 - Minuta de contrato enviado ao CEPESC para aval da empresa;
08/10 - Em contato com a área requisitante recebemos a informação que a empresa solicitou o prazo até o dia 10/10 para resposder o e-mail;
09/10/ - Para correção da minuta de contrato e despacho de encaminhamento (Mariângela);
10/10 - A COLICON para revisão, com destino final à ASJUR para Parecer. Fluxo: COLICON-CGAD-DAL-ASJUR;</t>
  </si>
  <si>
    <t>2005/2018</t>
  </si>
  <si>
    <t>Aquisição - materiais farmalotógico e hospitalar</t>
  </si>
  <si>
    <t>55/2018</t>
  </si>
  <si>
    <t xml:space="preserve">21/09 - Entrada do Processo na DIVCOL;
21/09 - Para analisar os autos, solicitar autorização para adesão no sistema, elaborar minuta de contrato e Despacho (Sabrina);
26/09 - Para correção (Carol);
27/09 - À COLICON para revisão
27/09 - À DIVCOL para solicitar D.O;
27/09 - Para emissão de D.O;
03/10 - À COLICON para revisão do Despacho e minuta do contrato (Jeaner); Fluxo: COLICON-CGAD-DAL-SPG-DG;
09/10 - Retorno do processo;
10/10 - À CGOF para emissão de Nota de Empenho:
</t>
  </si>
  <si>
    <t xml:space="preserve">06/07 -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pelas áreas requisitante e técnica, após a manifestação da futura contratada.
09/08 - Foi recebido pela Divcol o TR assinado pela área requisitante e técnica;
09/08 - À Divcol para revisão do Despacho de encaminhamento (Carol);
10/08 - À COLICON para revisão do Despacho de encaminhamento à Asjur. Fluxo: COLICON-CGAD-DAL-ASJUR;
23/08 - Retorno do processo;
24/08 - Para elaborar Despacho de Devolução dos autos ao requisitante (Mariângela);
27/08 - Despacho de devolução dos autos ao requisitante para complementação (Carol);
29/08 - Processo físico encaminhado ao requisitante;
11/09 - Retorno do processo;
11/09 - Para elaborar Despacho de apontamento (Mariângela);
11/09 - Elaborado Despacho solicitando emissão de DO (Mariângela);
12/09 - Para emissão de D.O;
17/09 - Retorno do processo;
17/09 - Para elaborar Despacho (Mariângela);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O processo seguirá para ratificação (Mariângela);
27/09 - A chefe da Divcol para análise do Despacho de Apontamento e ratificação (Carol);
01/10 - À COLICON para revisão do Despacho de Apontamento e ratificação. Fluxo: COLICON-CGAD-DAL-DG-SPG (Jeaner);
08/10 - Retorno do processo;
09/10 - Para publicação no D.O.U. (Evando);
10/10 - Dispensa publicada (Evando);
10/10 - Para dar continuidade ao processo - emitir nota de empenho (Mariângela);
10/10 - À CGOF para emissão de Nota de Empenho:
</t>
  </si>
  <si>
    <t>27/09 - Entrada do Processo na DIVCOL;
27/09 - Para analisar os autos e elaborar Despacho (Evando);
05/10 - Para dar andamento ao processo (Mariângela);
05/10 - À COLICON para revisão e assinaturas. Fluxo: COLICON-CGAD-DAL-SPG;
10/10 - Para dar continuidade ao processo - emitir nota de empenho (Mariângela);
10/10 - À CGOF para emissão de Nota de Empenho:</t>
  </si>
  <si>
    <t>02/10 - Entrada do Processo na DIVCOL;
03/10 - Para analisar os autos e elaborar Despacho (Evando);
05/10 - Para dar continuidade ao processo  (Mariângela);
05/10 - À COLICON para revisão e assinaturas. Fluxo: COLICON-CGAD-DAL-SPG;
10/10 - Para dar continuidade ao processo - emitir nota de empenho (Mariângela);
10/10 - À CGOF para emissão de Nota de Empenho:</t>
  </si>
  <si>
    <t xml:space="preserve">26/09 - Entrada do Processo na DIVCOL;
26/09 - Para analisar os autos e elaborar Despacho (Evando);
01/10 - Para dar continuidade ao processo - AJUR (Mariângela);
02/10 - À COLICON para revisão e assinaturas. Fluxo: COLICON-CGAD-DAL-ASJUR;
05/10 - Processo retornou da ASJUR;
05/10 - Para publicação (Evando);
08/10 - Para dar continuidade ao processo - Colher assinaturas, e depois restituir à DIVCOL, para a publicação no D.O .U (Mariângela);
08/10 = À COLICON para assinaturas. Fluxo: COLICON-CGAD-DAL-SPG;
09/10  - Inexigibilidade Publicada (Evando);
10/10 - Para dar continuidade ao processo - emitir nota de empenho (Mariângela);
10/10 - À CGOF para emissão de Nota de Empenho:
</t>
  </si>
  <si>
    <t>1979/2018</t>
  </si>
  <si>
    <t>Curso - Inscrição dos servidores Thiago Gomes Quinália e Rodrigo Diegues Barreto no evento "Cybersecurity Nexus (CSX) 2018 North america Conference"</t>
  </si>
  <si>
    <t xml:space="preserve">09/10 - Entrada do processo na DIVCOL;
09/10 - Para análise dos documentos e elaboração de Despacho de envio à ASJUR (Elizabete);
09/10 - Para assinaturas. Fluxo: COLICON-CGAD-DAL-SPG;
09/10 - Para CGOF, emitir empenho e fechamento de câmbio;
</t>
  </si>
  <si>
    <t>2041/2018</t>
  </si>
  <si>
    <t xml:space="preserve">Serviço - Aplicação de fundo selador acrílico em paredes </t>
  </si>
  <si>
    <t>56/2018</t>
  </si>
  <si>
    <t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17/07 -  O  requistante enviou o arquivo digital do Plano de Trabalho (Robson)
18/07 - Foi passado o processo para servidora Mariangela.
27/07 - Enviado e-mail ao requisitante (Sr. Murilo Coutinho) solicitando esclarecimentos quanto aos prazos definidos no TR. (Mariangela);
06/08 - Aguardando novo TR assinado pela área requisitante e técnica.
09/08 - Foi recebido pela Divcol o TR assinado pelas áreas requisitante e técnica;
10/08 - Enviado e-mail ao requisitante (Sr. Robson) solicitando submeter a minuta de Contrato e TR à análise prévia da contratada (Mariangela);
16/08 - Foi recebido pela Divcol o e-mail do requisitanto informando que a empresa aprovou as minutas de Contrato e o TR;
17/08 - À Divcol para revisão do Despacho de encaminhamento à ASJUR (Carol);
17/08 - A COLICON para revisão, com destino final à ASJUR para Parecer. Fluxo: COLICON-CGAD-DAL-ASJUR;
13/09 - Retorno do processo;
13/09 - Para elaboração de Despachos (Mariângela);
13/09 - Elaborado Despacho de emissão de Declaração Orçamentária - D.O. (Carol);
13/09 - Para emissão de D.O;
17/09 - Retorno do processo;
17/09 - Para elaborar Despacho de apontamento;
21/09 - Enviado e-mail ao requisitante (Sr. Robson) solicitando readequar o Termo de Referência de acordo com a recomendação da ASJUR (Mariangela);
24/09 - o Termo de Referência foi alterado pela Divcol (Mariângela);
27/09 - A chefe da Divcol para análise do Despacho de Apontamento e ratificação (Carol);
01/10 - À COLICON para revisão do Despacho de Apontamento e ratificação. Fluxo: COLICON-CGAD-DAL-DG-SPG (Jeaner);
08/10 - Retonro do processo;
08/10 - Para publicação no DOU (Evando);
11/10 -   Dispensa publicada (Evando);
11/10 -   Para dar continuidade de processo - emitir nota de empenho (Mariângela);</t>
  </si>
  <si>
    <t xml:space="preserve">
24/08 - Processo devolvido à DIVAP. Não foi elaborado portaria de nomeação da equipe de planejamento, assim como não consta nos processo os documentos que compôem sua instrução;
03/10 - Entrada do Processo na DIVCOL;
04/10 - Para elaboração de edital (Eduardo);
04/10 - Enviado e-mail à requisitante solicitando Plano de Trabalho; 
09/10 - Para revisão (Mariangela);
09/10 - À COLICON para revisão de edital com desitino final à ASJUR para Parecer. Fluxo: COLICON-CGAD-DAL-ASJUR;
11/10 - Processo enviado a ASJUR;
</t>
  </si>
  <si>
    <t xml:space="preserve">20/08 - Entrada do Processo na DIVCOL;
20/08 - Para soicitar arquivo digital do Plano de Trabalho (Valter);
21/08 - Solicitado e recebido arquivo digital do Plano de Trabalho. 
22/08 - Para dar continuidade ao processo (Carol);
22/08 - Para elaborar edital (Sabrina);
27/08 - Para revisar edital (Carol);
28/08 - Para solicitar correções do TR à unidade requisitante;
30/08 - Encaminhado e-mail ao Vanderson e Juliano/CEPESC solicitando ajustes (Sabrina);
270/9 - O processo, composto por dois itens, foi desmembrado, sendo que a aquisição do primeiro item constitui agora objeto do proc. nº 1831. O segundo item continua sendo objeto do presente contrato, no entanto, estamos aguardando o envio do novo Termo de Referência;
09/10 - Para correção do despacho de encaminhamento, minuta de contrato e Edital (Mariângela);
11/10 -  À COLICON para revisão, com destino final á ASJUR. Fluxo: COLICON-CGAD-DAL-ASJUR;
</t>
  </si>
  <si>
    <t>2043/2018</t>
  </si>
  <si>
    <t>Aquisição - materiais permanentes para musculação</t>
  </si>
  <si>
    <t>DOINT</t>
  </si>
  <si>
    <t>2051/2018</t>
  </si>
  <si>
    <t>02/08 - Entrada do Processo na DIVCOL;
03/08 - Para elaborar Termo de Ciência do integrante administrativo e Despacho de nomeação da equipe de planejamento (Valter);
06/08 - Para dar continuidade ao processo (CAROL);
06/08 - Ao DAL para designação da equipe de planejamento. Fluxo: COLICON-CGAD-DAL-CGAD-DIVCOL;
08/08 - Retorno do processo;
08/08 - Para exercer as atribuições de integrante administrativo e elaborar edital (Mariângela);
13/08 - Enviado e-mail ao requisitante/Copab(Fontes) solicitando Estudos Preliminares, Mapa de Riscos e Termo de Referência (Mariângela) - Prazo até 31.08;
04/09 - E-mail recebido da área requisitante /COPAB (FONTES) informando que a previsão para conclusão dos Estudos Preliminares, Mapa de Riscos e Termo de Referência será até 14/09 (Mariângela);
17/09 -  E-mail recebido da área requisitante /COPAB (FONTES) solicitando  informação quanto a previsão para conclusão dos Estudos Preliminares, Mapa de Riscos e Termo de Referência (Mariângela);
21/09 - Requisitante veio pessoalmente a Divcol para concluir o Mapa de Riscos. Consta pendente ainda uma cotação referente a um trecho. (Mariângela);
02/10 -  Enviado e-mail ao requisitante/Copab(Fontes) reiterando os envio dos Estudos Preliminares, Mapa de Riscos e Termo de Referência (Mariângela);
05/10 - Requisitante encaminhou os Estudos Preliminares, Mapa de Riscos e Termo de Referência (Mariângela);
05/10 - Para elaboração de Edital (Mariângela);
15/10 - Á COLICON para revisão do Edital e Despacho de encaminhamento. Fluxo: COLICON-CGAD-DAL-CGAD-ASJUR;</t>
  </si>
  <si>
    <t xml:space="preserve">02/10 - Entrada do Processo na DIVCOL;
02/10 - Para elaborar minuta de contrato e Despacho (Sabrina);
05/10 - Despacho de encaminhamento e contrato elaborados. Minuta contratual foi enviada para a unidade requisitante para consulta à empresa fornecedora;
15/10- Termo de Referência e minuta contratual aprovados pela empresa. Para correção.
15/10 - À ASJUR (COLICON/CGAD/DAL)
</t>
  </si>
  <si>
    <t xml:space="preserve">16/05 - Para elaboração de Despacho de nomeação da equipe de planejamento (Antonio);
15/06 - Para revisar Despacho (Carol) ;
19/06 - Para nova designação da equipe de planejamento. Fluxo: COLICON-CGAD-DAL-CGAD-DIVCOL;
19/06 - Retorno do processo;
19/06 - Para executar as funções de integrante administrativo e elaborar edital (Antonio);
05/07 - Está sendo analisado o TR enviado pelo requisitante e Confeccionado o Edital por este integrante;
16/08 - Para dar continuidade ao processo (Mariângela);
10/09 - Para dar continuidade ao processo (Antonio);
11/09 - O requisitante informou que estava enviando o TR, mapa de Risco e Estudos preliminares fisicamente para anexar ao processo e dar prosseguimento nas etapas seguintes;
09/10 - Requisitante informou que encaminhou os documentos para a COENG. Esta está analisando técnicamente a solução; </t>
  </si>
  <si>
    <t>25/06 - Entrada do Processo na DIVCOL.
25/06 - Para elaborar edital (Elizabete)
03/08 - Para revisão dos documentos (Carol);
08/08 - Para revisão do edital e envio á ASJUR. Fluxo: COLICON-CGAD-DAL-ASJUR; 
22/08 - Retorno do processo;
22/08 - Para elaboração de Despacho de apontamento;
27/08 - Para revisão de Despacho (Carol);
28/08 - Para autorização da abertuta do certame. Fluxo: COLICON-CGAD-DAL-CGAD-DIVCOL;
30/08 - Retorno do processo;
03/09 - Para cadastrar pregão (Paulo);
11/09 - Para dar continuidade ao processo (Carol)
11/09 - Para executar pregão (Antonio);
12/09 - Publicação no DOU 13/09/2018, abertura da Sessão Pública em 25/09/2018 às 10h30min;
18/09 - Após um pedido de esclarecimento, foi constatado que no Sistema de Compras Governamental não foi inserido a informação que o certame era exclusivo para ME/EPP, por isso, foi realizado o evento de alteração no Sistema e feito novo pedido para republicar no DOU (20/09/2018) com nova data de abertura da Sessão Pública para o dia 02/10/2018 às 14h30min. Foi também solicitado novo aviso de publicação no Jornal e feita nova inserção no Portal da Abin;
04/10 - Foi solicitado parecer ao requsitante sobre as propostas.  
05/10 - Requisitante solicitou a este Pregoeiro que seria necessário pedir amostra para todos os licitantes vencedores. Processo segue em análise das amostras pelo requisitante;</t>
  </si>
  <si>
    <t xml:space="preserve">20/09 - Entrada do Processo na DIVCOL;
20/09 - Para elaborar Termo de ciência do integrante administrativo e Despacho de nomeação da equipe de planejamento;
24/09 - Elaborado Termo de ciência do integrante administrativo e Despacho de nomeação da equipe de planejamento (Carol);
25/09 - Para designação da equipe de planejamento. Fluxo: COLICON-CGAD-DAL;
26/09 - Retorno do processo;
26/09 - Para análise, solicitação de documentos à unidade requisitante, elaboração de minuta de contrato e Despacho (Antonio);
11/10 - Foi solicitado ao requisitante para conseguir  03 (três) propostas para anexar ao processo;
</t>
  </si>
  <si>
    <t>11/05 - Apresentar justificativa do quantitativo;
15/05 - Elaborar quadro comparativo (Valter);
17/05 - Para emissão de D.O.;
21/05 - Retorno do processo (Carol);
22/05 - Para execução de cotação eletrônica (Valter);
23/05 - Cotação eletrônica cadastrada;
30/05 - Encaminhado a COSERGE para análise das propostas (Thiago);
27/06 - Para dar continuidade ao processo (Carol);
28/06 - Para ajustar Despacho (Valter);
05/07 - Ao DAL para aprovação, em seguida à CGOF para emissão de empenho, e posteriomente à DIVCON para providências pertinentes. Fluxo: COLICON-CGAD-DAL-CGOF-CGAD-DIVCON;
24/08 - Unidade requistitante solicitou o registro de nova cotação para aquisição dos itens remanescentes (amaciante e balança digital) da cotação nº 28/2018, para isso realizou novas pesquisas de preços (Carol);
27/08 - Para elaborar Despacho de D.O;
27/08 - Para dar continuidade ao processo (Carol);
27/08 - À CGOF para emissão de D.O;
12/09 - Retorno do processo à DIVCOL, realização da Cotação  eletrônica (Evando);
13/09 - Cotação cadastrada - abertura dia 14/09/2018 - encerramento dia 18/09/2018 às 15hs (Evando);
20/09 - Fase de análise de proposta - encaminhada à unidade requisitante  
02/10 - Orçamento aprovado pela unidade requisitante;
08/10 - Para dar Continuidade ao processo - cotação para homologação (Mariângela);
08/10 - À COLICON para assinaturas. Fluxo: COLICON-CGAD-DAL-CGOF-CGAD-DIVCON;
16/10 - Empenho realizado. À DIVCON para providências pertinentes;</t>
  </si>
  <si>
    <t xml:space="preserve">Análise dos documentos;
17/05 - Email ao requisitante para providências;
04/06 - Encaminhar os autos do processo à Unidade Requisitante para providências - prazo esgotado (Carol);
08/06 - Processo encaminhado à SEPB (Maria/SEPB);
03/09 - Retorno do processo;
04/09 - Para analisar os autos (Eduardo);
13/09 - Para dar continuidade ao processo (Evando);
17/09 - Para dar continuidade ao processo - emitir D.O (Carol);
18/09 - Para D.O;
25/09 - Cadastrada dispensa e confeccionado despacho (Carol);
26/09 - Para solicitar à unidade requistante a indicação de fiscal de contrato e ratificar Despacho (Evando);
27/09 - Para dar continuidade ao processo (Carol);
04/10 - Para dar continuidade ao processo - CGOF -solicitação nota de Empenho (Mariângela);
08/10 - À COLICON para autorização da Dispensa e ratificação - Fluxo: Colicon - CGAD - DAL - CGOF;
16/10 - Empenho realizado. À DIVCON para providências pertinentes;
</t>
  </si>
  <si>
    <t>15/06 - Entrada do processo na DIVCOL;
18/06 - Para esclarecer com a unidade requisitante quem são os integrantes da equipe de planejamento (Valter);
19/06 - Para dar continuidade ao processo (Carol);
19/06 - Para designação da equipe de planejamento; Fluxo: COLICON-CGAD-DAL-CGAD-COLICON-DIVCOL;
20/06 - Retorno do Processo;
20/06 - Ao integrante administrativo (Wilner);
03/07 - Retorno do processo;
04/07 - Para elaboração de edital (Elizabete);
10/07 - Para revisão (Carol);
16/07 - Para revisão de edital e envio à ASJUR. Fluxo: COLICON-CGAD-DAL-ASJUR;
08/08 - Retorno do processo;
09/08 - Análise do Parecer (Carol);
10/08 - Processo físico encaminhado ao requisitante para responder apontamentos da ASJUR;
27/08 - Retorno do processo;
28/08 - Para elaborar Despacho de apontamento (Sabrina);
31/08 - Para revisar Despacho (Carol);
05/09 - Para realizar ajustes;
11/09 - Para análise do despacho de apontamento (Carol);
12/09 - Para inserir informação no edital (Sabrina);
13/09 - Para correção (Carol);
14/09 - Para autorizar a abertura da licitação. Fluxo: COLICON-CGAD-DAL;
20/09 - Retorno do processo;
20/09 - Para execução de pregão (Filipe);
20/09 - A publicação no DOU será dia 24/09/2018, assim como a publicação no Jornal de Brasília.  A Sessão Pública será às 10h do dia 04/10/2018;
16/10 - Para dar continuidade ao pregão (Elizabete);</t>
  </si>
  <si>
    <t xml:space="preserve">Elaborar minuta de edital;
05/06  - Para revisão do edital, anexo e Despacho (Carol);
07/06 - Para ajustes (Marta);
08/06 - Para análise e encaminhamento à ASJUR (Carol);
11/06 - Requisitante está avaliando a inclusão de novos itens (Soraya/COMAP);
11/06 - À COLICON para revisão de edital com desitino final à ASJUR para Parecer. Fluxo: COLICON-CGAD-DAL-ASJUR;
03/07 - Retorno do processo;
09/07 - Para autorização da abertura da licitação e emissão de D.O. Fluxo: COLICON-CGAD-DAL-CGOF-CGAD-DIVCOL;
11/07 - Para cadastrar pregão;
Pregão agendado para o dia 14/08, às 10 horas.
03/08 - Para dar continuidade ao processo (Carol);
08/08 - Aguardando solução do problema do Token do servidor Eduardo, se não for solucionado o pregão será executado pela Mariângela;
10/08 - Para executar Pregão (Filipe);
26/06 - Habilitação marcada para o dia 26/09, às 14 horas;
08/10 - À CGOF para adequação da D.O.
09/10 - Retorno do processo;
09/10 - Para prosseguimento do Pregão (Felipe);
16/10 - Para dar continuidade ao pregão (Antonio);
</t>
  </si>
  <si>
    <t>056/2018</t>
  </si>
  <si>
    <t>19/04 - À COENG para parecer;
19/06 - Retorno do processo;
20/06 - Para analisar documentos (Marta);
21/06 - E-mail enviado ao requisitante prazo de resposta até dia 06/07;
16/07 - Entrar em contato com o requisitante para verificar se foi encaminhado o Termo de Referência (Mariângela);
18/07 - Enviado e-mail ao requisitante (Sr. Gilberto/Sueli Regina) solicitando o envio do Termo de Referência ajustado. (Mariângela);
27/07 - Enviado e-mail ao requisitante (Sr. Gilberto/Sueli Regina) reiterando o envio do Termo de Referência ajustado. (Mariângela);
27/07 - Requisitante respondeu que as alterações estão sendo providenciadas, não informou prazo para envio das alterações. (Sueli);
03/08 - Processo físico será devolvido à SEBA para inclusão dos documentos pendentes;
24/08 - SEBA informou que ainda aguarda orçamento das empresas. Processo está na DIVCOL;
30/08 - Recebido e-mail com as pesquisas de preços;
03/09 - Para verificar se ainda há pendências a serem resolvidas pela SEBA (Mariângela);
17/09 - Para revisão do Edital e Despacho de encaminhamento à ASJUR (Carol);
19/09 - À COLICON para revisão do edital;
21/09 - À DIVCOL para solicitar à SEBA complementações ao TR;
24/09 - Enviado e-mail ao requisitante (Sueli Regina/SEBA) solicitando retificação no Termo de Referência (Mariângela);
09/10 - Reiterei e-mail enviado ao requisitante (Sueli Regina/SEBA) solicitando retificação no Termo de Referência - Prazo: 17/10/2018 (Mariângela);
10/10 - A área requisitante encaminhou o TR retificado por e-mail;
15/10 - Solicitou o envio do TR assinado e digitalizado;
15/10 - A área requisitante encaminhou o TR assinado e digitalizado;
16/10 -  À COLICON para revisão do Edital e Despacho de Encaminhamento;</t>
  </si>
  <si>
    <t xml:space="preserve">29/06 - Entrada do Processo na DIVCOL.
03/07 - Para analisar os documentos e elaborar edital (Antonio);
07/08 - Processo será redistribuído para equipe de apoio da DIVCOL;
08/08 - Para elaborar edital (Eduardo);
23/08 - Para revisar edital e Despacho (Carol);
27/08 - Para verificar com a unidade requisitante o prazo de vigência do contrato. garantia e suporte técnico (Mariângela);
31/08 - Encaminhado e-mail à unidade requisitante (camila/CEPESC)  para esclarecimentos;
10/09 - O requisitante encaminhou os esclarecimentos necessáros e apresentou nova versão do TR. A minuta do Edital será concluída.
13/09 - Para revisar edital e Despacho de encaminhamento à ASJUR(Carol);
17/09 - Para solicitar ao requisitante ajustes no TR (Mariângela);
17/09 - Encaminhado e-mail à unidade requisitante (camila/CEPESC)  solicitando ajustes no Termo de Referência (Mariângela);
19/09 - Para revisar edital e Despacho de encaminhamento à ASJUR(Carol);
19/09 - À COLICON para revisão com destino final à ASJUR. Fluxo: COLICON-CGAD-DAL-ASJUR;
11/10 - Licitação publicada no DOU. ABERTURA DIA: 25/10/2018, às 10h;
16/10 - Para executar pregão (Bete);
</t>
  </si>
  <si>
    <t>12/06 - Foi encaminhado TR via email para Requisitante para retificação;
14/06 - Devolvido pelo Requisitante;
20/06 - Verificar edital, TR, Minuta de Ata e Despacho (Carol);
21/06 - Para ajustes (Antonio);
06/07 - Para revisar Despacho, Ata  e Edital (Carol);
10/07 - Para ajustes (Antonio);
16/07 - Ajustado. Solicito verificar Edital e Despacho de encaminhamento para ASJUR;
03/08 - Retorno do Processo;
07/08 - Para elaborar Despacho de apontamento (Eduardo);
08/08 - Despacho elaborado, processo devolvido pelo analista à Chefia da DIVCOL;
09/08 - Processo físico encaminhado ao requisitante para apresentar esclarecimentos ao apontando na ASJUR;
17/08 - Retorno do processo;
17/08 - Aguardando a chegada da Sabrina/SEMT, prevista para o dia 22/08;
22/08 - Para elaborar Despacho de apontameno (Sabrina);
23/08 - Aguardando diligência do requisitante;
23/08 - Para revisão do Despacho (Carol);
27/08 - Para autorização da abertura do certame e emissão de D.O. Fluxo: COLICON-CGAD-DAL-CGOF-CGAD-DIVCOL;
30/08 - Retorno do processo;
03/09 - Para cadastrar pregão (Paulo);
05/09 - Para solicitar arquivo digital do TR e ajustar Despacho (Sabrina);
05/09 - Para cadastar pregão;
16/10 - Para operar pregão - abertura 16/10, às 10 horas (Elizabete);</t>
  </si>
  <si>
    <t>Análise dos documentos;
05/06 - solicitação de arquivo ao requisitante;
13/06 - Para dar continuidade ao processo (Elizabete);
03/07 - Para revisão do edital (Carol);
10/07 - Para ajustes (Elizabete);
12/07 - Para revisão (Carol);
13/07 - À COLICON para revisão do edital e envio à ASJUR para Parecer. Fluxo: COLICON-CGAD-DAL-ASJUR;
03/08 - Retorno do processo;
06/08 - Análise do Parecer (Carol);
07/08 - Para elaboração de Despacho (Paulo);
07/08 - Processo físico encaminhado ao requisitante para esclarecimento ao apontado pela ASJUR;
20/08 - Retorno do Processo;
20/08 - Aguardando a chegada da Sabrina/SEMT, prevista para o dia 22/08;
22/08 - Para elaborar Despacho de apontameno (Sabrina);
22/08 - Despacho de apontamento elaborado (Carol);
22/08 - Para autorização da abertura do certame e emissão de D.O. Fluxo: COLICON-CGAD-DAL-CGOF-CGAD-COLICON-DIVCOL;
28/08 - Retorno do processo;
28/08 - 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(03/09);
03/09 - Para cadastrar pregão (Paulo);
05/09 - Para cadastrar pregão (Elizabete);
16/10 - Fase do pregão - análise da proposta e documentos;</t>
  </si>
  <si>
    <t>06/06 - Entrada do processo na DIVCOL;
06/06 - Para analisar documentos, conferir pesquisa de preço e elaborar edital (Mariângela);
08/06 - Enviado e-mail ao requisitante (Camila) solicitando o Termo de Referênica em meio digital para divulgação da IRP (Mariângela);
08/06 - Requisitante atendeu a solicitação da Divcol (Camila);
08/06 - Divulgar IRP e elaborar edital (Mariângela);
18/06 - Divulgada a IRP, prazo para manifestação até o dia 25/06. (Mariângela);
28/06 - Aberto prazo até 03/07/2018 para confirmação da participação na IRP. (Mariângela);
05/07 -  Será dada continuidade ao processo quando a servidora Mariângela retornar de férias (16/07), enquanto isso ficará parado, uma vez que o quadro crítico de servidores da DIVCOL não possibilita a redistribuição do processo (Carol);
18/07 - Para análise de Edital e Despacho de encaminhamento a ASJUR. (Jeaner);
23/07 - A ASJUR para parecer. Fluxo: COLICON-CGAD-DAL-ASJUR;
23/08 - Retorno do processo;
24/08 - Para elaborar Despacho de Devolução dos autos ao requisitante (Mariângela);
24/08 - Despacho de Devolução dos autos ao requisitante para complementação da análise (Carol);
24/08 - Processo físico encaminhado ao requisitante;
04/09 - Retorno do Processo;
04/09 - Para elaborar Despacho de apontamento (Mariângela);
04/09 - Elaborado Despacho de apontamento (Carol);
05/09 - Para autorização da abertura do certame. Fluxo: COLICON-CGAD-DAL;
05/09 - Retorno do processo;
05/09 - Para cadastrar pregão (Mariângela);
05/09 - No momento da divulgação do processo foi observado divergência na última atualização do Termo de Referência. Foi solicitado ao requisitante(CEPESC/Camilla) atualizar o TR (Mariângela);
12/09 - Recebido o Termo de Referência com as alterações solicitadas. O Pregão será cadastrado.
14/09 - Licitação publicada. Abertura da Sessão Pública dia 28/09/2018 às 10h;
14/09 - Para executar o pregão (Filipe);
16/10 - Fase do pregão - Análise dos documentos (Bete);</t>
  </si>
  <si>
    <t xml:space="preserve">25/06 - Entrada do Processo na DIVCOL.
26/06 - Para elaborar quadro comparativo, solicitar TR ao requisitante e elaborar Despacho de D.O (Valter)
03/07 - Recebido Memorando nº 748/2018 retificando o Termo de Referência (Valter)
03/07 - Encaminhado o processo físico para que o requisitante sinalize quais são os itens de cada pesquisa de preço (Roberta/DGP)
06/07 - Servidora Roberta devolveu o processo com os itens devidamente identificados (Valter)
11/07 - Enviado email para servidora Roberta questionando o valor de alguns itens (Roberta)
31/07 - Retorno do Processo;
03/08 - Para análise (Valter)
06/08 - Para dar continuidade ao processo (Carol);
07/08 - Para elaboração de edital (Paulo);
08/08 - Para dar continuidade ao processo (Carol);
15/08 - Para solicitar ao requisitante ajuste no TR (Valter);
17/08 - Recebido novo TR físico (Carol);
20/08 - Anexado ao processo o novo TR (Carol);
20/08 - À COLICON para revisão do edital, com destino final à ASJUR. Fluxo: COLICON-CGAD-DAL;
18/09 - Retorno do processo;
18/09 - Para analisar os autos e elaborar Despacho (Eduardo);
19/09 - Para revisão (Carol);
20/09 - Processo físico encaminhado ao requisitante para responder apontamento da ASJUR; 
21/09 - Foi alertado à iunidade requisitante a urgência do empenho. A unidade requisitante informou que manterá contato com a empresa para solucionar pendências expostas no Parecer;
26/09 - Para elaborar Despacho de apontamento (Eduardo);
26/09 - Para prosseguimento do feito (Carol);
27/09 - Para autorização da abertura da licitação e emissão de D.O. Fluxo: COLICON-CGAD-DAL-CGOF-CGAD-DIVCOL;
02/10 - Retorno do processo;
02/10 - Para cadastrar pregão (Mariângela);
03/10 - Para execução do pregão (Elizabete);
04/10  - Data de abertura do Pregão: 18/10 - 10 horas;
16/10 - Para operar pregão (Elizabete);
</t>
  </si>
  <si>
    <t>47/2018</t>
  </si>
  <si>
    <t>15/10 - A compra será realizado no processo 1760/2018, conforme Memorando n. 446/2018, de 05/10/2018, da SEGOR;</t>
  </si>
  <si>
    <t>Lorene</t>
  </si>
  <si>
    <t>2037/2018</t>
  </si>
  <si>
    <t>10/08 - Entrada de cópia do Memorando na DIVCOL. A empresa vencedora do item 2 não entregou o produto e a unidade requsitante solicitou convocar a segunda colocada;
14/08 - Pegar o processo na DIVCON (Valter);
14/08 - Processo entregue à Chefia (Carol);
15/08 - Para informar ao requisitante que já passam mais de 60 dias desde o registro da proposta das empresas e que o sugerido é instruir um processo de cotação eletrônica (Valter);
16/08 - Reqquisitante entrou em contato com a segunda colocada, que deicidiu manter o preço, sendo assim a sessão será reaberta para realização dos trâmites no sistema;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reabrir  pregão e chamar 2º convocado do item 2 (Filipe);
26/09 - Retorno agendado para o dia 26/09, às 15:30;
11/10 - Para homologação (DAL);
16/10 - Processo reencaminhado para homolagação (faltou homologar item 8 e 12);</t>
  </si>
  <si>
    <t>02/10 - Entrada do Processo na DIVCOL;
03/10 - Para analisar os autos e elaborar Despacho (Evando);
10/10 - Para dar continuidade ao processo - colher as assinaturas, e depois restituir à DIVCOL, para o registro no sistema (Mariângela);
10/10 - À COLICON para revisão e assinaturas. Fluxo: COLICON-CGAD-DAL-SPG;
16/10 - Para dar continuidade ao processo - emitir nota de empenho e fechamento de câmbio (Carol);
16/10 - À CGOF para empenho e fechamento do câmbio;</t>
  </si>
  <si>
    <t xml:space="preserve">19/07 - Entrada do processo na COLICON;
31/07 - À DIVCOL para dar continuidade ao processo;
06/08 - Para elaboração de Termo de Ciência e Despacho de  designação da equipe de planejamento;
09/08 - Para dar continuidade ao processo (Carol);
10/08 - Para designação da equipe de planejamento. Fluxo: COLICON-CGAD-DAL-CGAD-DIVCOL;
14/08 - Retorno do processo;
14/08 - Ao integrante técnico (Lívia/COSERGE) para solicitar ao requsitante a elaboração do TR, Estudos Preliminares, Mapa de risco e pesquisa de preços;
21/09 - Retorno do Processo;
24/09 - Para elaborar edital (Antonio);
26/09 - Processo será distribuído para Mourão. Aguardando liberação de acesso às pastas da DIVCOL;
11/10 - À COLICON para revisão de Edital e Despacho de Encaminhamento;
</t>
  </si>
  <si>
    <t xml:space="preserve">31/08 - Entrada do Processo na DIVCOL;
03/09 - Solicitar arquivo digital do TR;
03/09 - Solicitei arquivo digital do TR (Soraya);
03/09 - Rerebi o arquivo digitalizado e anexei  na pasta do processo;
03/09 - Para dar continuidade ao processo (Carol);
03/09 - Para analisar os autos, solucionar pendências junto ao requisitante, cadastrar IRP e elaborar edital (Sabrina);
28/09 - Para correção do despacho de encaminhamento e edital (Mariângela);
04/10 - Aguardando envio de novo TR pela unidade requistante, constando os pedidos dos órgãos participantes da Ata;
08/10 - Para correção do despacho de encaminhamento e edital (Mariângela)
15/10 - À COLICON para revisão de Edital e Despacho de encaminhamento;
</t>
  </si>
  <si>
    <t>28/05 - Entrada do Processo na DIVCOL;
29/05 - Elaborar Termo de Ciência e Despacho de nomeação equipe de planejamento (Valter) ;
29/05 - Para dar continuidade ao processo (Carol);
29/05 - Para Designação da equipe de planejamento Fluxo: COLICON-CGAD-DAL-CGAD-DIVCOL;
04/06 - Retorno do processo;
05/06 - Para executar as funções de integrante administrativo e elaborar edital (Mariângela);
05/06 - Enviado e-mail ao requisitante (Gangá) solicitando Estudos Preliminares, Mapa de Riscos e Termo de Referência (Mariângela) - Prazo até 19.06;
19/06 - Enviado e-mail ao requisitante (Gabriel) solicitando o envio dos documentos solicitados no dia 05/06 (Mariângela);
29/06 - Devolvido o processo físico aos integrantes requsitantes (Gangá e João Gabriel)  para elaboração e inclusão dos Estudos Preliminares, Mapa de Riscos e Termo de Referência. (Mariângela);
05/07 - Retorno do processo. O processo será entregue à servidora Mariângela quando ela retornar de férias (16/07), enquanto isso ficará parado uma vez que o quadro crítico de servidores da DIVCOL não possibilita a redistribuição do processo (Carol);
16/07 - Para dar continuidade ao processo (Mariângela);
26/07 - Análise de Despacho de devolução de processo a área requisitante solicitando complementação de informações. (Jeaner)
31/07 - Finalizar revisão (Carol);
06/08 - Para encaminhar ao requisitante (Mariângela);
06/08 - Devolvido a Divcol/Carol, para devolução de processo a área requisitante solicitando complementação de informações. 
06/08 - Processo físico encaminhado ao requisitante;
13/08 - Edital em elaboração (Mariângela);
14/08 - Para revisão do edital, anexos e Despacho de encaminhamento a ASJUR (Carol);
27/08 - Para inserir informação no Despacho (Mariângela);
28/08 - Inserida informação no Despacho de encaminhamento a ASJUR (Carol);
29/08 - À COLICON para revisão, com destino final á ASJUR. Fluxo: COLICON-CGAD-DAL-ASJUR;
03/10 - Retorno do processo (Mariângela);
05/10 - À COLICON para revisão do Despacho de Apontamento. Fluxo: COLICON-CGAD-DAL;
16/10 - Retorno do processo;
16/10 - Para cadastrar pregão (Mariângela);
16/10 - Pregão cadastrado. ABERTURA DA SESSÃO: 30/10/2018, às 10h;</t>
  </si>
  <si>
    <t>2061/2018</t>
  </si>
  <si>
    <t>Serviço - Fornecimento e instalação de paineis e divisórias dos Blocos 1 e 2 - DOINT e Bloco V - CEPESC</t>
  </si>
  <si>
    <t>09/10 - Entrada do Processo na DIVCOL;
10/10 -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</si>
  <si>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>44/2018</t>
  </si>
  <si>
    <t>06/07 - Entrada do Processo na DIVCOL.
10/07 - Para solicitar ao requistante o arquivo digital do Termo de Cessão (Valter)
11/07 - Anexado na pasta do processo o arquivo da minuta de contrato (Carol)
13/07 - À COLICON para revisão de Despacho e envio à ASJUR. Fluxo: COLICON-CGAD-DAL-ASJUR;
14/08 - Retorno do processo;
15/08 - Para encaminhar parecer à SERJ e solicitar negociação com a Concessionária sobre os termos da minuta de cessão (Mariângela);
16/08 - Enviado e-mail ao requisitante/Eliane(SERJ) com o Parecer ASJUR solicitando negociação com a Concessionárioa (Mariângela);
31/08 - Recebido Memorando da ASJUR solicitando o retorno do processo (Carol);
03/09 - Para elaborar Despacho de retorno à ASJUR (Mariângela);
04/09 - Despacho de retorno à ASJUR (Carol);
04/09 - Processo físico encaminhado à ASJUR;
21/09 - Retorno do processo;
21/09 - Para solicitar à ASJUR o arquivo da minuta alterado e elaborar Despacho de apontamento (Mariângela);
24/09 - Despacho para emissão de D.O. (Carol);
24/09 - Para emissão de D.O;
26/09 - Retorno do processo;
26/09 - Para elaborar Despacho de apontamento (Mariângela);
11/10 - Para ratificação;
15/10 - Retorno do processo;
15/10 - À DIVCON para formalização do Termo de Cessão;
16/10 - DIVCON solicitou esclarecimento de dúvidas quanto as pendências sinalizadas no Despacho de apontamento;
17/10 - À CGOF para empenho, em seguida à DIVCON para providências pertinentes;</t>
  </si>
  <si>
    <t>02/10 - Entrada do Processo na DIVCOL;
03/10 -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</si>
  <si>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 xml:space="preserve">24/09 - Entrada do Processo na DIVCOL;
26/09 - Para analisar os autos e elaborar Despacho (Evando);
11/10 - Para dar continuidade ao processo - colher as assinaturas, depois restituir à DIVCOL, para o registro no sistema. (Mariângela);
16/10 - Para cadastrar Inexigibilidade (Valter);
16/10 - Cadastrada Inexigibilidade. Para dar continudade ao processo (Carol);
17/10 - À CGOF para empenho, em seguida à DIVCON para providências pertinentes;
</t>
  </si>
  <si>
    <t>45/2018</t>
  </si>
  <si>
    <t>16/05 - Elaborar edital (Antonio);
18/06 - Processo redistribuído a Elizabete para elaboração do edital;
26/06 - Para revisão do edital (Carol);
27/06 - Para ajustes (Elizabete);
29/06 - Para revisão (Carol);
09/07 - Para revisão do despacho e envio à ASJUR. Fluxo: COLICON-CGAD-DAL-ASJUR;
25/07 - Retorno do Processo;
30/07 -Ao Dal para aprovação;
31/07 - Retorno do processo;
06/08 - Para assinatura de Despacho corrigido. Fluxo: COLICON-CGAD-DAL-CGAD-DIVCOL;
07/08 - Retorno do processo;
10/08 - Para cadastrar pregão (Filipe);
03/09 - Para cadastrar pregão (Paulo);
11/09 - Para dar continuidade ao processo (Carol);
11/09 - Para executar pregão (Antonio);
12/09 - Publicação no DOU para 13/09/2018 e Abertura da Sessão Pública dia 27/09/2018 às 10h30min;
05/10 - Licitação foi fracassada. Foi encaminhado email para o requisitante se teria interesse de nova licitação;
16/10 - Relatório de revogação foi assinado pelo DAL.  A DIVCOL está aguardando o email do requisitante para manifestar-se sobre a necessidade de repetir a Licitação;
16/10 - Requsitante informou que devido ao processo de possível mudança de sede, ficou decidido incluir a despesa no POA 2019.  A revogação foi publicada no DOU de hoje (16/10/2018); 
17/10 - Processo será encaminhado à COAA para arquivo no final do ano;</t>
  </si>
  <si>
    <t>58/2018</t>
  </si>
  <si>
    <t xml:space="preserve">1909 - Entrada do Processo na DIVCOL;
19/09 - Para analisar os autos, solucionar pendências junto ao requisitante, cadastrar IRP e elaborar edital (Sabrina);
03/10 - Encaminhado e-mail a unidade requisitante com apontamentos para correcao do TR  (Valdeni - SEGOR);
05/10 - Unidade requisitante enviou novo TR. Cadastramento da IRP nº 25/2018. Prazo de encerramento: 18/10;
10/10- A IRP não será divulgada, de acordo com a orientação da COLICON.  Para correção do edital, ata de registro de preço e despacho de encaminhamento (Mariângela);
16/10 - Para revisão do edital e Despacho (Carol);
17/10 - Para revisão do edital e Despacho, com destino final à ASJUR (Jeaner);
</t>
  </si>
  <si>
    <t>Aquisição - máquina fotográfica (remanescente do Pregão 42/2018)</t>
  </si>
  <si>
    <t xml:space="preserve">02/10 - Entrada do Processo na DIVCOL;
02/10 - Para analisar os autos e elaborar Despacho (Sabrina);
03/10 - Para emissão de D.O.
08/10 - Retorno do processo;
08/10 - Para cotação (Sabrina);
17/10 - Para homologação e empenho, em seguida à DIVCON para providências pertinentes;
</t>
  </si>
  <si>
    <t>57/2018</t>
  </si>
  <si>
    <t>Eduardo/SEPB, Sabrina, Lorene, Mariângela, Antonio e Elizabete.</t>
  </si>
  <si>
    <t>Evando e Valter</t>
  </si>
  <si>
    <t>28/06 - Entrada do Processo na DIVCOL.
28/06 - Para elaboração de edital (Mariângela)
03/07 - Para revisão de edital, anexos e Despacho (Carol)
13/07 - À COLICON para revisão do edital e envio à ASJUR para Parecer. Fluxo: COLICON-CGAD-DAL-ASJUR.
25/07 -  Retorno do processo;
25/06 - Para elaborar Despacho de Apontamento (Mariângela);
26/07 - Enviado e-mail ao requisitante (Sr. Maickel) solicitando alteração do TR para fins de atendimento ao parecer da ASJUR. (Mariângela)
30/07 - Para revisão do Despacho de Apontamento.
(Jeaner);
30/07 - Ao DAL para autorização da abertura da licitação e envio à CGOF para emissão de D.O. Fluxo: COLICON-CGAD-DAL-CGOF-CGAD-DIVCOL;
10/08 - Retorno do processo;
14/08 - Para cadastrar pregão e fazer check-list (Eduardo);
22/08 - Peguei o processo com o servidor para reavaliar distriuição e prioridade dos processos da Divisão;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ausente retornar às atividades (03/09);
03/09 - Para cadastrar pregão (Paulo);
13/09 - Pregão cadastrado (Caroll);
13/09 - Para revisar o cadastro e executar o pregão (Filipe);
20/09 - Será publicado no DOU do dia 24/09/2018. A Sessão Pública será  às 14h30min do dia 04/10/2018;
16/10 - Pregão reagendado para o dia  25/10, às 15 horas; 
17/10 - Para operar pregão (Eduardo);</t>
  </si>
  <si>
    <t>Eduardo DIVCON</t>
  </si>
  <si>
    <t>11/09 - Entrada do Processo na DIVCOL;
11/09 - Para abrir pasta do processo e elaborar edital (Antonio);
17/09 - Foi encaminhado email para o requisitante  solicitanto informações sobre amostra, alteração do TR  ou justificativa para não reserva de cota para ME/EPP e ainda, se há possibilidade de informar de pesquisa com fornecedores;
18/09 - Envio do email do requisitante com a resposta e o TR atualizado;
19/09 - Em virtude de só conter a pesquisa de preço SINAPI no processo, o requisitante foi orientado a fazer pesquisas junto a outros Órgãos via email e anexar ao processo.
21/09 - Revisão do edital enquanto aguardamos as pesquisas da COENG (Carol);
24/09 - Edital revisado, Processo seguirá para ASJUR enquanto as pesquisas ficam prontas;
25/09 - Para revisão de edital e envio à ASJUR.  Fluxo: COLICON-CGAD-DAL-ASJUR;
03/10 - Retorno do processo (Mariângela);
04/10 - Para prosseguimento (Antonio);
04/10 - Abertura do processo dia 18/10/2018 - Ás 10h30 (Antonio);
17/10 - Para operar pregão (Eduardo);</t>
  </si>
  <si>
    <t>Serviço - Subscrição de licença de acesso de conteúdo técnico especializado de programação, metodologias e processos de desenvolvimento de sistemas de informação  (ALLURE)</t>
  </si>
  <si>
    <t>Aquisição - Projeto Gestão de acervo Biblioteca (VIA APPIA)</t>
  </si>
  <si>
    <t>2066/2018</t>
  </si>
  <si>
    <t>Curso - Inscrição dos servidor Luiz Cláudio Borges no evento Intelligence Reporting</t>
  </si>
  <si>
    <t>Curso - Inscrição dos servidores Tertuliano Carneiro e Renata Colares no evento AsiaCrrypt 2018</t>
  </si>
  <si>
    <t xml:space="preserve">24/09 - Entrada do Processo na DIVCOL;
24/09 - Para analisar os autos, solicitar autorização para adesão no sistema, elaborar minuta de contrato e Despacho (Eduardo);
27/09 - Aguardando admissão, por parte da ANA, da adesão à Ata de Registro de Preços. Elaborado Despacho de Dotação Orçamentária (Carol);
27/09 - À CGOF para emissão de D.O;
04/10 - Retorno do processo;
04/10 - Aguardando admissão, por parte da ANA, da adesão à Ata de Registro de Preços (Eduardo);
09/10 - Devido à recusa de dois itens, foi enviado e-mail à requisitante (Sr. Uver)  informando da recusa e solicitando manifestação sobre o prosseguimento do feito (Eduardo);
15/10 - Juntada de correios eletrônicos (Eduardo);
15/10 - Elaborado Despacho ao DAL de adesão à Ata. Para revisão (Carol);
16/10 - Para correção do Despacho (Eduardo);
17/10 - Aguardando da requisitada os dados e procuração da representante legal para elaboração de minuta de contrato;
19/10 - Elaboração de minuta de contrato. Para revisão (Carol);
19/10 - À COLICON para revisão, à CGAD e DAL para concordância, à CGOF para adequação da D.O e empenho, e à DIVCON para providências pertinentes;
</t>
  </si>
  <si>
    <t>060/2018</t>
  </si>
  <si>
    <t xml:space="preserve">31/08 - Entrada do Processo na DIVCOL;
31/08 - Confirmar se houve alteração do  Plano de Trabalho anterior mente enviado e verificar com o Evandro/DGE se foi elaborada a  minuta de contrato e edital;
05/09 - Minuta do edital enviada por e-mail (Carol);
06/09 - Providências atendidas (Carol);
10/09 - Para revisar minuta de edital, elaborar minuta de contrato e Despacho (Sabrina);
11/09 - Para revisão (Carol);
18/09 - À COLICON para revisão do edital;
25/09 - Para ajustar Despacho (Sabrina);
26/09 - Para revisão (Carol);
27/09 - Á COLICON para revisão com destino final à ASJUR. Fluxo: COLICON-CGAD-DAL-ASJUR;
15/10 -  Retorno do processo;
16/10 - Para finalizar Despacho de apontamento (Sabrina);
17/10 - Para emissão de D.O;
19/10 - Retorno do processo;
19/10 - Abertura do Pregão dia 31/10 - 10h;
</t>
  </si>
  <si>
    <t>59/2018</t>
  </si>
  <si>
    <t xml:space="preserve">08/10 - Entrada do Processo na DIVCOL;
08/10 - Para analisar os autos e elaborar Despacho de D.O;
08/10 - Análise do processo fisico (Evando);
17/10 - Para dar continuidade ao processo - emitir D.O (Carol);
17/10 - Para emissão de D.O;
19/10 - Retorno do processo;
19/10 - Para cadastar a cotação (Valter);
</t>
  </si>
  <si>
    <t xml:space="preserve">20/09 - Entrada do Processo na DIVCOL;
20/09 - Para solicitar ao requisitante o DFD e Termo de ciência do integrante requisitante (Eduardo) ;
20/09 - Solicitado por e-mail ao requisitante o DFD e o Termo de ciência do integrante requisitante (Eduardo);
21/09 - Para dar continuidade ao processo (Carol);
21/09 - Para elaborar edital(Eduardo);
11/10 - Elaborados Edital e Despacho à ASJUR. Para revisão (Mariângela);
16/10 - Para revisão do edital e Despacho (Carol);
16/10 - Para revisão do edital e Despacho, com destino final à ASJUR (Jeaner);
17/10 - Para correção do edital (Eduardo);
17/10 - Para revisão do Edital e Despacho à ASJUR (Carol);
18/10 - Solicitado ao requisitante a elaboração de Mapa de Risco e Estudo preliminar. Edital e TR estão em revisão. Será realizado a prorrogação excepicional do contrato atual;
</t>
  </si>
  <si>
    <t xml:space="preserve">Revisar estudos preliminares e mapa de risco;
17/05 - Necessidade de alteração da equipe de planejamento (Carol);
21/05 - Para elaboração de Termo de Ciência integrante administrativo (Valter);
22/05 - Para dar continuidade ao processo (Carol);
22/05 - Para Designação da equipe de planejamento. Fluxo: COLICON-CGAD-DAL-CGAD-DIVCOL;
24/05 - Retorno do processo (Carol);
28/05 - À integrante técnica (Lívia/COSERGE);
13/06 - Retorno do processo;
14/06 - Para elaborar edital (Elizabete);
26/06 - Para revisão do edital (Carol);
27/06 - Para ajustes (Elizabete);
29/06 - Para revisão (Carol);
10/07 - Para revisão do edital e envio à ASJUR para Parecer. Fluxo: COLICON-CGAD-DAL-ASJUR;
19/07 - Retorno do Processo;
24/07 - Para autorização da abertura da licitação
25/07 - Retorno do Processo;
31/07 - Para dar continuidade ao processo (Carol);
06/08 - Para assinatura de Despacho corrigido. Fluxo: COLICON-CGAD-DAL-CGAD-DIVCOL;
08/08 - Retorno do processo;
10/08 - Para cadastrar pregão (Filipe);
03/09 - Para cadastrar pregão (Paulo);
04/09 - Para emissão de D.O;
11/09 - Retorno do processo;
11/09 - Para cadastrar pregão (Antonio);
13/09 - Publicação no DOU 14/09/2018 e abertura da Sessão Publica às 14h30min do dia 27/09/2018;
08/10 - Licitante ALESSANDRO DE SIQUEIRA SANTOS, após encaminhar a documentação física, foi homologado como vencedor. Confecção do Relatório para encaminhar para DAL;
19/10 - Para homologação, empenho, com destino final à DIVCON para formalização do contrato; </t>
  </si>
  <si>
    <t>11/05 - Ao DAL para aprovação;
16/05 - Para lançar IRP e executar pregão (Marta);
07/06 - IRP divulgado;
28/06 - IRP transferido e ajuste do TR;
05/07 - Servidora de licença médica. Processo será redistribuído;
06/07 - Para cadastrar pregão (Elizabete);
06/08 - Para dar continuidade ao pregão (Carol);
07/08 - Para dar continuidade ao pregão (Mariângela);
13/08 - Para dar continuidade ao pregão (Filipe);
10/09 - Para finalizar processo (Bete);
27/09 - Para solicitar correção da proposta da empresa vencedora e elaborar Despacho (Elizabete);
16/10 - Elaboração de relatório de homologação do Pregão (Elizabete);
17/10 - Despacho elaborardo (Carol);
17/10 - Para assinatura e aprovação dos superiores;
18/10 - Retorno do Processo:
18/10 - À DIVCON para dar continuidade a contratação;
19/10 - Necessidade de correção de outro item (Elizabete);</t>
  </si>
  <si>
    <t>2136/2018</t>
  </si>
  <si>
    <t>Serviço - Kits fechaduras e instalação de divisórias</t>
  </si>
  <si>
    <t>2133/2018</t>
  </si>
  <si>
    <t>Aquisição - Etiqueta patrimonial em poliester</t>
  </si>
  <si>
    <t>2130/2018</t>
  </si>
  <si>
    <t>Aquisição - Materias permanentes para musculação</t>
  </si>
  <si>
    <t>11/05 - Designação da equipe de planejamento;
16/05 - Para executar as atribuições de integrante administrativo (Antonio);
22/05 - Enviado ao Requisitante modelo TR, Mapa de Risco e Estudos Preliminares;
27/06 - Requisitante encaminhou o TR, Mapa de Risco e Estudo Preliminar. O requisitante informou que poderá acontecer a Adesão a Ata e que foi feito contato com o fornecedor e que o mesmo irá responder em até 05 (cinco) dias;
04/7 - Em virtude do licitante não ter aceitado Adesão à Ata de Registro de Preços do TCU nas mesmas condições, logo, o processso ficará suspenso;
10/07 - A Diretoria orientou sobre a possibilidade de fazer a licitação. Assim, foi enviado email para o requisitante para analisar a situação e dar prosseguimento ao processo;
16/08 - Para verificar com a unidade requisitante quanto ao prosseguimento do processo (Mariângela);
05/09 - Ainda não há uma definição quanto ao prosseguimento do processo pela unidade requisitante (Mariângela);
10/09 - Para verificar com a unidade requisitante quanto ao prosseguimento do processo (Antonio);
10/09 - O requisitante informou que verificará junto ao Fornecedor sobre a possibilidade de cumprir o preço em Ata;
18/09 - Conforme email, o requisitante informou que ainda permanece a negociação para adesão à Ata. Neste sentido, solicitou mais alguns dias para definição final;</t>
  </si>
  <si>
    <t>19/07 - Entrada do processo na COLICON;
24/07 - Para DIVCOL (Valter)
24/07 - Encaminhei email para SEBA pendindo proposta de preço da empresa de menor valor do Painel de Preços (Sueli)
10/08 - A servidora Sueli informou que a empresa de menor valor das pesquisas do painel de preços não concordou em fornecer a água e ficou de fazer novas pesquisas de preço (Sueli).
11/09 - Foi feito contato telefônico com a servidora Sueli , no qual fui informado que no dia 13/09/2018, será enviado via malote os documentos;
17/09 - Chegou da SEBA, o orçamento da empresa  de menor preço ofertado, com pendências na Receita (Evando);
18/09 - Foi enviado e-mail à SEBA (Sueli),  com prazo,  para providências (Evando); 
04/10 - Restituir ao autos do processo à unidade requisitante,  para providências (Mariângela);
04/10 - Processo foi restituíido a SEBA para providências;</t>
  </si>
  <si>
    <t>12/06 - Foi encaminhado TR via email para Requisitante para retificação;
13/06  Devolvido pelo Requisitante;
18/06 - Para Chefia: Verificar: Edital, Minuta da Ata e Despacho para AJUR;
19/06 - À COLICON para revisão do edital com destino final á ASJUR. Fluxo: COLICON-CGAD-DAL-ASJUR;
09/07 - Retorno do processo;
09/07 - Para elaborar Despacho de apontamento (Antonio);
10/07 - Encaminho a V.Sa para verificação do Despacho e do Edital após o aumento da quantidade do Item 9;
11/07 - Para autorização da abertura da licitação Fluxo: COLICON-CGAD-DAL-CGAD-DIVCOL;
11/07 - Pregão para Publicação dia 12/07/2018 e Sessão Pública dia 24/07/2018 às 14h;
13/07 - Ao DAL para assinatura de Despacho. Fluxo: COLICON-CGAD-DAL-CGAD-DIVCOL;
15/07 - Para execução de pregão (Antonio);
13/08 - Para dar continuidade ao pregão (Filipe);
12/09 - Para homologação (DAL). OBS: Pregão continua em andamento apenas para os item 2 e 4, já que a empresa Declarou ME/EPP, emobra tenha recebido mais de 8 milhões em 2017;
22/10 - Os itens pendentes foram objeto do Processo 20/13/2018, para serem adquiridos por meio de cotação eletrônica;</t>
  </si>
  <si>
    <t>14/06 - Entrada do processo na DIVCOL;
15/06 - Para análise dos documentos (Evando);
25/06 - Restituir ao requisitante para providências (Carol);
25/06 - À DIVGRAF para adequar o TR ao modelo da AGU e complementar a pesquisa de preço (Cesar/DIVGRAF);
04/07- Retorno do processo;
04/07 - Para análise (Evando);
11/07 - Para dar continuidade ao processo (Carol);
13/07 - Para elaborar edital (Elizabete);
18/07 - Para Parecer;
02/08 - Retorno do Processo.
03/08 - Analisar Parecer (Carol);
07/08 - Elaborar Despacho de apontamento (Paulo)
07/08 - Para dar continuidade ao processo (Carol);
07/08 - Para autorizar a abertura do certame. Fluxo: COLICON-CGAD-DAL-CGOF-CGAD-DIVCOL;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cadastrar pregão (Paulo);
11/09 - Para execução de pregão;
16/10 - Para dar continuidade ao pregão (Antonio);
16/10 - Sessão Pública foi aberta em 16/10/2018 e não houve propostas, ou seja, a licitação foi deserta. Será feito o Relatório e o Pregão republicado;
19/10 - Para entrar em contato com o requisitante verificar a opção de repetir a licitação ou conseguir nova pesquisa de preço para contratação por meio de Dispensa inc. V (Sabrina);
22/10 - Processo resistribuído ao Mourão;</t>
  </si>
  <si>
    <t>Caroline</t>
  </si>
  <si>
    <t>05/09 - Entrada do Processo na DIVCOL;
11/09 - Para analisar os autos e elaborar Despacho de D.O;
13/09 - Análise do processo fisico (Evando);
13/09 - Foi enviado e-mail a Unidade Requisitante (com contagem de  prazo) ,para sanar pendências, falta o termo de referência (Evando);
04/10 - Para dar continuidade ao processo - Emitir  D.O (Mariângela);
04/10 - Processo seguiu para emissão D.O.;
15/10 - Retorno do processo;
16/10 - Para cadastrar Dispensa (Evando);
17/10- Dispensa de Licitação cadastrada (Evando):
17/10 - Para dar continuidade ao processo - emitir nota de empenho (Carol);
17/10 - Para aprovação e empenho, destino final DIVCON para providências pertinentes;</t>
  </si>
  <si>
    <t xml:space="preserve">Pregão </t>
  </si>
  <si>
    <t>09/10 - Entrada do Processo na DIVCOL. Aguardando Despacho da CGAD para indicação de integrante administrativo;
16/10 - Elaborar Termo de Ciência e Despacho de nomeação equipe de planejamento (Evando) ;
17/10 - Elaborar Termo de Ciência e Despacho de nomeação equipe de planejamento (Valter) ;
17/10 - Elaborado Termo de Ciência e Despacho de nomeação equipe de planejamento. Para dar continuidade ao processo (Carol) ;
18/10 - Retorno do processo;
18/10 - Para exercer as funções de integrante administrativo e elaborar edital (Sabrina);
19/10 - Solicitado ao requisitante a elaboração dos TR, Mapa de Risco, Estudos Preliminar e pesquisas de preço. Prazo final 05/11;</t>
  </si>
  <si>
    <t>23/05 - Revisão de Edital e Despacho de encaminhamento (Carol);
25/05 - Ao CEPESC para análise do quantitativo dos itens;
06/06 - Retorno do processo;
06/06 - Para revisão dos documentos e ajustes que forem necessários (Mariângela);
08/06 - Requisitante informou via e-mail que o TR sera novamente alterado;
13/06 - Elaboração de Edital (Mariângela);
21/06 - Divulgada IRP, prazo para confirmação até o dia 06/07;
05/07 -  Será dado continuidade ao processo quando a servidora Mariângela de férias (16/07), enquanto isso ficará parado, uma vez que o quadro crítico de servidores da DIVCOL não possibilita a redistribuição do processo (Carol);
18/07 - Solicitei a área requisitante (Marcelo Morocini) ajuste no TR referente a adequação do órgão participante;
19/07 - Revisão de Edital e despacho de encaminhamento (Jeaner);
24/07 - À ASJUR para parecer. Fluxo: COLICON-CGAD-DAL;
10/08 - Retorno do processo;
13/08 - Para analisar Parecer e elaborar Despacho de Devolução ao requisitante (Mariângela);
13/08 - Despacho elaborado (Carol);
14/08 - Processo físico encaminhado a unidade requisitante (Morocini e Ivan/CEPESC) para responder esclarecimentos da ASJUR;
26/08 - Para elaborar Despacho de apontamento (Mariângela);
03/09 - Para revisão de Despacho (Carol);
04/09 - Para autorizar a abertura do certame. Fluxo: COLICN-CGAD-DAL-CGAD-DIVCOL;
05/09 - Retorno do processo;
06/09 - Para execução do pregão (Bete);
11/09 - Abertura da Sessão Pública dia 27/09/2018 às 10h;
15/10 - Pregão em fase de habilitação;
16/10 - Pregão Adjudicado dia 16/10. Relatório de homologação em andamento;</t>
  </si>
  <si>
    <t>24/05 - Para analise do Edital e Despacho de encaminhamento (Carol);
28/05 - Para correção (Mariângela);
28/05 - Para revisão (Carol);
29/05 - Para confirmar com o requisitante o índice de reajuste (Mariângela);
01/06 - Enviado e-mail para o requisitante/Vanderson solicitando informar qual o índice de reajuste (Mariângela);
01/06 - Para revisão do Edital e Despacho de encaminhamento (Carol);
11/06 - À COLICON para revisão de edital com desitino final à ASJUR para Parecer. Fluxo: COLICON-CGAD-DAL-ASJUR;
29/06 - Retorno do processo;
03/07 - Para elaborar Despacho. Processo será devolvido ao requisitante (Mariângela);
03/07 - Processo será devolvido ao requisitante para atender Parecer da AJUR;
05/07 - Processo físico encaminhado ao CEPESC para apresentar justificativas para os apontamentos apresentados pela ASJUR;
20/08 - Retorno do Processo;
20/08 - Para elaborar Despacho de apontamento (Mariângela);
23/08 - Despacho de Apontamento para análise da Divcol (Carol);
27/08 - Para ajustes no Despacho (Mariângela);
27/08 - Despacho de Apontamento para reanálise da Divcol (Carol);
28/08 - Para autorização da abertura do certame e emissão de D.O. Fluxo: COLICON-CGAD-DAL-CGOF-CGAD-DIVCOL;
04/09 - Retorno do processo;
04/09 - Para cadastrar pregão (Mariângela);
05/09 - Pregão cadastrado (Carol);
06/09 - Para execução do pregão (Bete);
10/09 - Pregão lançado - Data de Abertura: 24/09, às 10 horas;
15/10 - Pregão em fase de elaboração de relatório de homologação;
17/10 - Pregão homologado dia 17/10. Processo encaminhado para empenho, destino final DIVCON para providências pertinentes;</t>
  </si>
  <si>
    <t>Divulgar IRP e elaborar minuta de edital;
05/06 - Análise da IRP e aguardando confirmação;
20/06 - E-mail encaminhado aos órgãos participantes prazo de 2 dias;
28/06 -  Atualização do TR (Marta);
05/07 - Servidora de licença médica. Processo será redistribuído;
06/07 - Para finalizar a elaboração do edital (Elizabete);
03/08 - Para revisão dos documentos (Carol)
08/08 - Para esclarecer com o requisitante informações presentes no TR (Paulo);
08/08 - Requisitante irá ajustar TR (Paulo);
09/08 - Para revisão (Carol);
10/08 - Para revisão do edital e envio à ASJUR. Fluxo: COLICON-CGAD-DAL-ASJUR;
27/08 - Retorno do Processo;
28/08 - Para autorizar a abertura do certame. Fluxo: COLICON-CGAD-DAL-CGAD-DIVCOL;
30/08 - Retorno do processo;
03/09 - Para cadastrar pregão (Paulo);
05/09 - Para cadastrar pregão (Elizabete);
11/09 - Abertura da Sessão Pública  21/09/2018 às 14h30min;
16/10 - Pregão em fase de habilitação;
16/10 - Pregão Adjudicado dia 16/10. Relatório de homologação em andamento;</t>
  </si>
  <si>
    <t>16/05 - Designação da equipe de planejamento (Colicon);
16/05 - Solicitar à SEGO a indicação de novo integrante requisitante (Carol);
17/05 - Solicitar à SEGO a indicação de novo integrante requisitante (Valter);
23/05 - Recebido o Termo de Ciência do Integrante requisitante (Carol);
24/05 - Elaborar Despacho de Designação da equipe de planejamento (Valter);
29/05 - Para dar continuidade ao processo (Carol)
29/05 - Para Designação da equipe de planejamento. Fluxo: COLICON-CGAD-DAL-CGAD-DIVCOL;
04/06 - Retorno do processo;
05/06 - Para executar as funções de integrante administrativo e elaborar edital (Mariângela);
05/06 - Enviado e-mail ao requisitante (Taline) solicitando Estudos Preliminares, Mapa de Riscos e Termo de Referência (Mariângela) - Prazo até 19.06
19/06 - Enviado e-mail ao requisitante (Taline) solicitanto revisar os Estudos Preliminares e o Termo de Referência (Mariângela);
27/06 - Recebido os  Estudos Preliminares, Mapa de Riscos e Termo de Referência (Mariângela);
28/06 - Edital em elaboração (Mariângela);
28/06 - Para análise de Edital e encaminhamento a ASJUR (Carol);
13/07 - À COLICON para revisão do edital e envio à ASJUR para Parecer. Fluxo: COLICON-CGAD-DAL-ASJUR;
31/07 -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(03/09).
03/09 - Para cadastrar pregão (Mariângela);
05/09 - Pregão cadastrado (Carol);
06/09 - Para execução do pregão (Bete);
10/09 - Pregão lançado - Data de Abertura: 26/09, às 10 horas;
16/10 - Elaboração de relatório de homologação do Pregão;
17/10 - Pregão homologado dia 17/10. Processo encaminhado para empenho, destino final DIVCON para providências pertinentes;</t>
  </si>
  <si>
    <t>06/07 - Entrada do Processo na DIVCOL;
09/07 - Para elaborar edital (Elizabete);
03/08 - Para revisão dos documentos (Carol);
16/08 - À COLICON para revisão do edital, com destino final à ASJUR. Fluxo: COLICON-CGAD-DAL-ASJUR;
16/08 - Unidade requistante informou que está revisando o critério de julgamento da licitação. Processo físico está na DIVCOL aguardando posicionamento da DIVAL; 
17/08 - DIVAL enviou novo TR por meio digital. Aguardo o original (Carol);
21/08 - Recebido o TR original;
22/08 - À COLICON para revisão do edital, com destino final à ASJUR. Fluxo: COLICON-CGAD-DAL-ASJUR;
21/09 - Retorno do processo;
21/09 - Para elaborar Despacho de apontamento (Eduardo);
24/09 - Para dar continuidade ao processo (Carol);
25/09 - Para autorização da abertura do certame. Fluxo: COLICON-CGAD-DAL;
26/09 - Retorno do processo;
26/09 - Para cadastrar pregão (Antonio);
11/10 - Houve um equívoco quanto a inserção do item 43 e como houve participação, foi comunicado ao Órgão Participante se teria interesse em continuar no processo;
19/10 - Foi feita nova Divulgação da IRP com número 32/2018. A divulgação será até o dia 30/10/2018;</t>
  </si>
  <si>
    <t>Elaborar Termo de Referência único;
14/06 - Resposta do requisitante de Pernambuco quanto a complementação do TR;
04/07 - Foi encaminhado o Termo de Referência consolidado (via email) para a COENG para verificação das especificações técnicas  e tambem emails para as SE´s solicitando esclarecimento de alguns pontos;
16/08 - Para dar continuidade ao processo (Mariângela);
23/08 - Para análise de Edital e Despacho de encaminhamento (Carol);
28/08 - Á COLICON para revisão do edital, com destino final à ASJUR. Fluxo: COLICON-CGAD-DAL-ASJUR;
10/09 - Recebido memo 244/SEPE com a complementação das pesquisas de preço. O processo ainda não retornou da ASJUR (Carol);
17/09 - Enviado e-mail para o Antonio/Divcol com a complementação das pesquisas de preço da SECE. (Mariângela);
20/09 - Retorno do Processo;
21/09 - Para elaborar solicitar ao requisitante justificativas ao apontado pela ASJUR  e elaborar Despacho de apontamento;
25/09 - Foi reenviado o Processo para o requisitante com a finalidade de responder aos apontamentos da Assessoria Jurídica quanto aos aspectos técnicos;
15/10 - Processo devolvido pelo requisitante;
17/10 - Para autorização da abertura do certame e emissão de D.O. Fluxo: COLICON-CGAD-DAL-CGOF-CGAD-DIVCOL;
19/10 - Retorno do processo;
19/10 - Para cadastrar pregão (Antonio);
22/10 - Publicação no DOU do dia 23/10/2018 o Pregão nº 058/2018. Sessão Pública no dia 05/11/2018 às 10h30min;</t>
  </si>
  <si>
    <t xml:space="preserve">08/10 - Entrada do Processo na DIVCOL;
09/10 - Para analisar os autos e elaborar Despacho (Evando);
18/10 - Para dar continuidade ao processo - colher as assinaturas, depois restituir à DIVCOL  para o registro no sistema (Carol);
18/10 - Para ratificação;
22/10 - Para continuidade ao processo- emitir nota de empenho e fechamento de câmbio (Carol);
</t>
  </si>
  <si>
    <t>envio cgof</t>
  </si>
  <si>
    <t xml:space="preserve">24/09 - Entrada do Processo na DIVCOL;
24/09 - Para analisar os autos e elaborar minuta de contrato (Eduardo);
26/09 - Processo será distribuído para Mourão. Aguardando liberação de acesso às pastas da DIVCOL;
16/10 - Para revisar minuta de contrato. A unidade requisitante está providenciando a carta de exclusividade;
17/10 - Para ajustar Projeto básico e encaminhar e-mail a unidade requisitante para submeter a minuta de contrato à empresa (Sabrina);
17/10 - Aguardando retorno da empresa;
19/10 - Para revisão da minuta do contrato e despacho de encaminhamento (Carol);
19/10 - Para revisão dos documentos (Jeaner);
19/10 - Para solução de pendência junto ao requisitante (Sabrina);
22/10 - Unidade requisitante enviou documento que está pendente. Para correção e envio à ASJUR (Jeaner);
</t>
  </si>
  <si>
    <t xml:space="preserve">Pregão será republicado (Filipe);
17/05 - Processo a ser redistribuído. Data de abertura do pregão: 28/05 (Carol);
22/05 - Revisão da planilha. Necessiade de nova publicação (Thiago);
23/05 - Revisão da planilha (Carol);
25/05 - Planilha revisada (Carol);
Data de abertura do Pregão: 12/06 - 10 horas;
07/06 - Para executar pregão (Marta);
05/07 - Para decidir recurso (Elizabete);
07/08 - Pregão revogado. À COSERGE para decidir quanto às exigências de qualificação técnica;
08/08 - Aguardando envio de novo TR pelo requisitante;
14/08 - TR salvo na pasta do processo pelo requisitante. O processo retornará à ASJUR;
22/08 - À COLICON para revisão do edital, com destino final à ASJUR. Fluxo: COLICON-CGAD-DAL-ASJUR;
20/09 - Retorno do processo;
21/09 - Para elaborar Despacho de apontamento (Mariângela);
24/09 - Aguardando o retorno (01/10) do Thiago/Coserge para confirmar algumas informações do TR e Planilha (Mariângela);
02/10 - O Thiago/Coserge esclareceu as dúvidas em relação a divergência apresentada no TR e Planilha (Mariângela);
02/10 - Para Elaborar Despacho de Apontamento (Mariângela);
17/10 - Para revisão de Despacho de Apontamento (Carol);
17/10 - Para revisão e assinatura dos superiores. Fluxo: COLICON-CGAD-DAL-DIVCOL;
18/10 - Retorno do processo;
18/10 - Para cadastrar nova licitação (Mariângela);
19/10 - Publicado no DOU. ABERTURA DA LICIITAÇÃO: 05/11/2018, às 10h;
</t>
  </si>
  <si>
    <t xml:space="preserve">31/07 - Entrada do Processo na DIVCOL;
03/08 - Para elaborar Termo de Ciência do integrante administrativo e Despacho de nomeação da equipe de planejamento (Valter);
06/08 - Para dar continuidade ao processo (CAROL);
07/08 - Ao DAL para designação da equipe de planejamento. Fluxo: COLICON-CGAD-DAL-CGAD-DIVCOL;
08/08 - Retorno do processo;
08/08 - Para exercer as atribuições de integrante administrativo e elaborar edital (Mariângela);
13/08 - Enviado e-mail ao requisitante/Coeng (Giancarlos) solicitando Estudos Preliminares, Mapa de Riscos e Termo de Referência (Mariângela) - Prazo até 31.08;
04/09 - Reiteirado e-mail ao ao requisitante/Coeng (Giancarlos) solicitando Estudos Preliminares, Mapa de Riscos e Termo de Referência (Mariângela); 
05/09 - E-mail recebido da área requisitante/Coeng (Giancarlos) informando que a previsão para conclusão dos Estudos Preliminares, Mapa de Riscos e Termo de Referência será até o início de outubro; 
23/10 -  Despacho de devolução do processo físico ao integrante requsitante (Giancarlo)  para elaboração e inclusão dos Estudos Preliminares, Mapa de Riscos e Termo de Referência. (Mariângela);
</t>
  </si>
  <si>
    <t>1735/2018</t>
  </si>
  <si>
    <t>08/10 - Entrada do Processo na DIVCOL;
09/10 - Para analisar elaborar Edital e Despacho de encaminhamento de processo remanescente (Mourão);
09/10 - Em contato com a Pregoeira Elizabete, recebemos a informação que outros itens do Pregão 42/2018 serão fracassados, assim optou em aguardar a homologação do Pregão para verificar os itens que restarão fracassados e incluir no Pregão remanescente;
17/10 - Enviado e-mail ao CEPESC informando que o item 8 foi deserto e os itens 11 e 13 foram fracassados. Aguardando manifestação em relação a repetição do processo para esses itens;
18/10 - A área requisitante/CEPESC solicitou finalização do processo sem a inclusão dos itens, por motivos orçamentários;
23/10 - Processo será arquivado. Processo encontra-se na DIVCOL, será enviado à COAA no final do ano, em atendimento à solicitação daquela coordenação;</t>
  </si>
  <si>
    <t>49/2018</t>
  </si>
  <si>
    <t xml:space="preserve">03/08 - Entrada do Processo na DIVCOL;
06/08 - Solicitar arquivo digital do Termo de Referência (Valter);
08/08 - Para dar continuidade ao processo (Carol);
09/08 - Para elaborar edital (Paulo);
15/08 - Prévia do Edital e do Despacho de encaminhamento elaborados. Aguardando enceramento do prazo para manifestação de interesse de participação na IRP. Prazo 22/08 (Carol);
22/08 - Para finalização do edital (Sabrina);
30/08 - Processo a ser redistribuído (Carol);
31/08 - Para finalização do edital (Eduardo/SEPB);
03/09 - Para revisão (Carol);
12/09 - Para ajustes no edital (Eduardo);
17/09 - Para revisão (Carol);
17/09 - Aguaradando posicionamento da DIVAL quanto ao atestado de qualificação técnica;
18/09 - Recebida resposta da DIVAL;
19/09 - Para ajustes (Eduardo);
19/09 - Para revisão (Carol);
20/09 - À COLICON para revisão com destino final à ASJUR. Fluxo: COLICON-CGAD-DAL-ASJUR;
02/10 - Retorno do processo;
02/10 - Processo será distribuído no dia 04/10 para elaboração de Despacho de apontamento (Eduardo);
04/10 - Para despacho de apontamento (Eduardo);
08/10 - Á COLICON Para assinaturas do despacho de apontamento. Fluxo: COLICON-CGAD-DAL;
10/10 - Para cadastramento e processamento do Pregão (Antônio);
10/10 - Envio para publicação no DOU de 15/10/2018. Abertura da Sessão Pública dia 25/10/2018 às 15h.
</t>
  </si>
  <si>
    <t xml:space="preserve">09/10 - Entrada do Processo na DIVCOL;
10/10 - Para analisar os autos e elaborar Despacho (Evando);
19/10 - Para dar continuidade ao processo - após colher as assinaturas, restituir à DIVCOL, para o registro no sistema (Carol);
19/10 - Para ratificação;
22/10 - Retorno do processo;
23/10 - Para cadastrar inexigibilidade (Evando);
23/10 - Para dar continuidade ao processo - emitir nota de empenho e fechamento de câmbio (Carol);
23/10 - Para empenho, fechamento de câmbio, com destino final à DIVCON para providências pertinentes;
</t>
  </si>
  <si>
    <t>10/10 - Entrada do Processo na DIVCOL;
10/10 - Para analisar elaborar Edital e Despacho de encaminhamento (Eduardo);
10/10 - O Sr. Morais/Doint entrou em contato informando que o processo será desmembrado, sendo que alguns itens serão adquiridos por Adesão a Ata;
11/10 - A área requisitante encaminou a documentação para Adesão a Ata;
11/10 - Aguardando resposta da área requisitante em relação a aquisição aos demais itens;
17/10 - Para revisão do despacho de restituição do processo para complementação de informações;
18/10 - Processo físico devolvido à unidade requisitante para decidir sobre a Adesão à ata e desmembramento do processo;
22/10 - Retorno do processo;
22/10 - Para analisar os autos e elaborar edital (Mariângela);
23/10 - Valor dentro do limite para cotação eletrônica. Para elaborar Despacho de D.O;
23/10 - Para emissão de D.O;</t>
  </si>
  <si>
    <t>11/05 - Para parecer;
15/06 - Retorno do processo;
15/06 - Para resolver pendências apontadas no Parecer da ASJUR (André);
31/08 - Recebido o ofício com resposta da AOFI;
28/09 - Processo distribuído para a Mariângela para resolver pendências apontadas no Parecer da ASJUR;
16/10 - Processo distribuído para a Lorene para resolver pendências apontadas no Parecer da ASJUR;
17/10 - Para revisão de Despacho (Carol);
22/10 - Para analisar as informações que cosntam nos autos (Jeaner);</t>
  </si>
  <si>
    <t>24/08 - Entrada do Processo na DIVCOL;
27/08 - Para solicitar à unidade requisitante as Declarações de Ciência dos integrantes administrativos (Evando);
30/08 - Atendida  a solicitação (Carol);
03/09 - Para elaborar Termo de Ciência do Integrante administrativo e Despacho de designação da equipe de planejamento (Evando);
05/09 - Para dar continuidade ao processo (Carol);
10/09 -  Para designação da equipe de planejamento;
10/09 - Para exercer as atribuições de integrante administrativo e elaborar edital (Eduardo);
11/09 - enviado e-mail à unidade requisitante. Aguardando prazo para manifestação - 26/9 (Eduardo);
27/09 - Coordenadora e integrante requisitante compareceram à DIVCOL e receberam orientações sobre pesquisa de preços e demais assuntos visando dar prosseguimento ao feito (Mariangela e Eduardo);
23/10 - Recebimento de duas propostas da unidade requisitante.</t>
  </si>
  <si>
    <t>2150/2018</t>
  </si>
  <si>
    <t>Imóvel - Locação de vagas de estacionamento</t>
  </si>
  <si>
    <t>18/08 - Busca de imóveis na SPU;
25/09 - Entrada do Processo na DIVCOL;
25/09 - Para analisar os autos e elaborar minuta de contrato (Mariângela);
28/09 - Processo distribuído para Mourão;
09/10 - Recebido e-mail da área requisitante/Alessandra informando que o  imóvel foi vendido. Aguardando SETO comunicar via Memorando ao DAL a desistência do proprietário;
17/10 - O Wilner solicitou o processo para análise;</t>
  </si>
  <si>
    <t xml:space="preserve">11/05 - Designação da equipe de planejamento
16/05 - Para executar as atribuições de integrante administrativo (Mariângela)
25/05 - Para nova assinatura do Despacho de designação da equipe de planejamento. Fluxo: COLICON-CGAD-DAL-CGAD-DIVCOL;
28/05 - Retorno do processo;
29/05 - Para executar as funções de integrante administrativo e elaborar edital (Mariângela);
25/05 - Enviado e-mail ao requisitante (Gaspar) solicitando Estudos Preliminares, Mapa de Riscos e Termo de Referência (Mariângela) - Prazo até 19.06
19/06 - Requisitante solicitou prorrogação do prazo até o dia 27/06;
03/07 - Conforme contato telefônico, nesta data, o requisitante (Gaspar) informou que a documentação seguirá no malote do dia 05/07;
05/07 - Será dada continuidade ao processo quando a servidora Mariângela retornar de férias (16/07), enquanto isso ficará parado, uma vez que o quadro crítico de servidores da DIVCOL não possibilita a redistribuição do processo (Carol);
11/07 - Documentação da SEPI recebida;
11/07 - Será dado continuidade ao processo quando a servidora Mariângela retornar de férias (16/07), enquanto isso ficará parado, uma vez que o quadro crítico de servidores da DIVCOL não possibilita a redistribuição do processo (Carol);
16/07 - Para análise do Edital e Despacho de encaminhamento. (Jeaner);
18/07 - À ASJUR para Parecer;
01/08 -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(03/09).
03/09 - Para cadastrar pregão (Mariângela);
05/09 - Pregão cadastrado (Carol);
06/09 - Para execução do pregão (Bete);
10/09 - Pregão lançado - Data de Abertura: 25/09, às 10 horas;
16/10 - Pregão fracassado. Aguardando o envio de novas pesquisas pela SEPI para repetir o pregão;
24/10 - Recebido Memo n. 152/SEPI com as novas pesquisas de preços. A pregoeria para alterar TR e republicar o pregão;
</t>
  </si>
  <si>
    <t>31/07 - Entrada do Processo na DIVCOL;
03/08 - Solicitar arquivo digital do Plano de Trabalho e confirmar data de vencimento do contrato atual (Evando);
13/08 - Para dar continuidade ao processo (Carol);
14/08 - Para elaborar edital (Eduardo);
24/08 - Processo será redistribuído. Servidor entrou de férias (Carol);
30/08 - Para elaboração do edital;
10/09 - Para revisão;
14/09 - Para solicitar arquivo do Plano de Trabalho (Sabrina);
19/09 - Para dar continuidade ao processo;
19/09 - À COLICON para revisão;
24/09 - À DIVCOL para solicitar ao requistante ajustes no TR;
26/09 - Para solicitar ajustes no TR (Sabrina);
02/10 - Para correção (Mariângela);
05/10 -  À COLICON para revisão do Edital e Despacho de encaminhamento; Fluxo: COLICON-CGAD-DAL-ASJUR;
23/10 - Retorno do Processo;
23/10 - Para elaborar Despacho de apontamento (Sabrina);
24/10 - Processo físico devolvido à unidade requisitante para responder apontamentos da Asjur;</t>
  </si>
  <si>
    <t>50/2018</t>
  </si>
  <si>
    <t>25/06 - Entrada do Processo na DIVCOL.
26/06 - Para analisar os documentos e elaborar Despacho de D.O (Evando)
29/06 - Para dar continuidade ao processo (Carol)
29/06 - Para emissão de D.O.
03/07 - Retorno do processo.
05/07 - Para elaborar Despacho de envio à ASJUR (Evando)
12/07 - Para da continuidade ao processo (Carol)
13/07 - À ASJUR para Parecer;
Processo retornou da ASJUR e foi encaminhado diretamente ao DGP sem passar pela DIVCOL, por isso não há registro da data;
08/10 - Para elaborar despacho de apontamento (Evando);
17/10  - Para dar continuidade ao processo - Colher assinaturas, depois restituir à DIVCOL , para publicação (Carol);
17/10 - Para ratificação;
18/10 - Retorno do processo;
19/10 - Para cadastrar inexigibilidade (Valter);
23/10 - Cadastrada enexigibilidade;
24/10 - Para dar continuidade ao processo (Carol);
24/10 - Para empenho, em seguida à DIVCON para providências pertinentes;</t>
  </si>
  <si>
    <t xml:space="preserve">22/10 - Entrada do Processo na DIVCOL;
22/10 - Para analisar os autos e soliciatr adesão no sistema (Mariângela);
22/10 - Aguardando o órgão cadastrar a Ata de Registro de Preço;
</t>
  </si>
  <si>
    <t>Aquisição - Solução de segurança para proteção do perímetro da rede</t>
  </si>
  <si>
    <t>51/2018</t>
  </si>
  <si>
    <t xml:space="preserve">
28/08 - Entrada do Processo na DIVCOL;
28/08 - Para analisar os autos e elaborar Despacho de encaminhamento à ASJUR (Evando);
31/08 - Para dar continuidade ao processo - Emitir D.O (Carol);
31/08 - Para emissão de D.O;
04/09 - Retorno do Processo;
04/09 - Para elaborar Despacho (Evando);
11/09 - É necessário antes da elaboração do despacho, a minuta de contrato, depois restituir ao servidor Evando para dar continuidade do processo (Carol);
11/09 - Para elaborar minuta de contrato e Despacho (Sabrina);
17/09 - Para correção (Carol);
20/09 - Para revisão dos documentos (Jeaner);
21/09 - À ASJUR para parecer. Fluxo: COLICON-CGAD-DAL-ASJUR;
08/10 - Para elaboração de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</si>
  <si>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>1209 - Entrada do Processo na DIVCOL;
13/09 - Para analisar os autos e elaborar Despacho (Evando);
17/09- Para dar continuidade ao processo - Emitir D.O (Carol);
18/09 - Para D.O;
18/09 - Retorno do processo para correção de Despacho;
19/09 - Para correção (Evando);
20/09 - Para emissão de D.O;
25/09 - Retorno do processo; 
26/09 - Para elaborar Despacho (Sabrina);
27/09 - Para revisão (Carol);
27/09 - Para ajustes no Despacho (Sabrina);
27/09 - Para revisão (Carol);
27/09 - À COLICON para revisão, com destino final à ASJUR.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</t>
  </si>
  <si>
    <t xml:space="preserve">28/08 - Entrada do Processo na DIVCOL;
31/08 - Para dar continuidade ao processo - emitir D.O (Carol);
31/08 - Para emissão de D.O;
04/09 - Retorno do processo;
04/09 - Para elaborar Despacho (Evando);
14/09 -  Para dar continuidade ao processo (Carol);
14/09 - À COLICON para revisão com destino final à ASJUR para parecer.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</si>
  <si>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 xml:space="preserve">10/10 - Entrada do Processo na DIVCOL;
11/10 - Para analisar os autos e elaborar Edital  e Despacho de Encaminhamento (Mourão);
11/10 - Enviado e-mail ao ao requisitante solicitando DFD e Termos de Ciência;
17/10 - Para elaborar edital e Despacho (Sabrina);
17/10 - Para correção do despacho de encaminhamento e edital (Carol);
18/10 - Para elaborar minuta da ata e salvar arquivo do TR na pasta do processo (Sabrina);
19/10 - Para correção da minuta da ata. TR enviado pela unidade requisitante e salvo na pasta (Carol);
19/10 - Para revisão do edital (Jeaner);
22/10 - Para verifcar com o requisitante se realmente trata-se de SRP, se não for, solicitar a correção do TR (Sabrina);
22/10 - Para emissão de D.O;
23/10 - Retorno do processo. SEGOR encaminhou novo TR;
24/10 - Solicitado correção do Termo de Referência;
</t>
  </si>
  <si>
    <t>18/10 - Entrada do Processo na DIVCOL;
1810 - Para analisar os autos e elaborar Despacho (Valter;
19/10 - Elaborado Despacho. Para dar continuidade ao processo (Carol);
19/10 - Para ratificação;
22/10 - Retorno do processo;
23/10 - Para cadastrar inexigibilidade (Valter);
2410 - Cadastrada inexigibilidade ;
24/10 - Para dar continuidade ao processo (Carol);
25/10 - Para empenho, em seguida à DIVCON para dar continuidade ao processo;</t>
  </si>
  <si>
    <t xml:space="preserve">03/09 - Entrada do Processo na DIVCOL;
04/09 - Para analisar os autos e elaborar Despacho de D.O (Valter);
11/09 - Consta e-mail (04/09) enviado pelo servidor Valter para SEPE para providências (Evando);
17/09 - Restituir os autos do processo  à  Unidade Requisitante para providências (Carol);
24/09 - Processo físico encaminhado à SEPE para resolver pendência quanto à pesquisa de preços;
23/10 - Retorno do processo;
23/10 - Para analisar os autos (Sabrina);
24/10 - Despacho de D.O elaborado (Carol);
25/10 - Para emissão de D.O;
</t>
  </si>
  <si>
    <t>2114/2018</t>
  </si>
  <si>
    <t>Curso - Inscrição dos servidores Alexsandro Barreto e Marley Antonio no curso Tesouro Gerencial</t>
  </si>
  <si>
    <t xml:space="preserve">24/10 - Entrada do Processo na DIVCOL;
24/10 - Para analisar os autos e elaborar minuta de contrato (Sabrina);
</t>
  </si>
  <si>
    <t>2175/2018</t>
  </si>
  <si>
    <t>Aquisição - Bateria selda chumbo-ácida</t>
  </si>
  <si>
    <t>61/2018</t>
  </si>
  <si>
    <t xml:space="preserve">04/07 - Entrada do Processo na DIVCOL.
05/07 - Para solicitar à SEGO o arquivo digital da miniuta de contrato padrão da Concessionária. 
09/07 - Solicitado arquivo digital da miniuta de contrato padrão da Concessionária.
09/07 - Elaborado despacho para COENG (Carol)
09/07 - À COENG para análise técnica;
28/08 - Retorno do processo;
28/08 - Para elaborar Despacho de D.O (Valter);
30/08 - Elaborado Despacho de D. O. ;
30/08 - Para dar continuidade ao processo (Carol);
31/08 - Para emissão de D.O;
31/08 - Retorno do Processo. CGOF informou que já conta uma D.O emitada para 2018 no Processo 2073/2011;
03/09 - Para tirar cópia da D.O que consta no Processo 2073/2011 e elaborar Despacho de encaminhamento à ASJUR (Valter);
04/09 - Foi anexado cópia da D.O que consta no Processo 2073/2011  e confeccionado despacho para COMAP (Carol);
10/09 - Processo físico encaminhado à COMAP;
12/09 - Retorno do Processo;
12/09 - Para elaborar Despacho (Evando);
24/09 - Para dar continuidade ao processo (Evando);
24/09 - Para ajustes (Evando);
25/09 - Para dar continuidade ao processo (Evando);
25/09 - Para Parecer da ASJUR. Fluxo: COLICON-CGAD-DAL-ASJUR;
16/10 - Retorno do processo;
17/10 - Para elaborar Despacho de apontamento (Valter);
17/10 - Foi feito contato com a ser
vidora Taline para que a mesma providenciasse a indicação dos Fiscais do contrato (SEGO);
22/10 - Anexado ao processo as Declarações de Ciência  e Despacho. Para dar continuidade ao processo (Carol);
22/10 - Para ratificação;
23/10 - Retorno do processo;
24/10 - Para cadastar Dispensa (Eduardo);
25/10 - Cadastrada e publicada a Dispensa. Para seguimento do processo (Carol);
25/10 - Para empenho;
</t>
  </si>
  <si>
    <t xml:space="preserve">02/10 - Entrada do Processo na DIVCOL;
03/10 - Para analisar os autos e elaborar Despacho (Evando);
04/10 - Para dar andamento ao processo - emitir D.O (Mariângela);
04/10 - Processo seguiu para emissão D.O.;
09/10 - Retorno do processo com  D.O.;
10/10 - Para elaborar Despacho de encaminhamento (Evando);
22/10 - Para dar continuidade ao processo - colher as assinaturas, e depois restituir à DIVCOL, para o registro no sistema(Carol);
22/10 - Para ratificação;
23/10 - Retorno do processo;
24/10 - Para cadastrar inexigibilidade (Eduardo);
25/10 - Cadastrada a inexigibilidade. Para seguimento do feito (Carol);
25/10 - Para empenho, em seguida à DIVCON para providências pertinentes;
</t>
  </si>
  <si>
    <t>60/2018</t>
  </si>
  <si>
    <t xml:space="preserve">02/10 - Entrada do Processo na DIVCOL;
03/10 - Para analisar os autos e elaborar Despacho (Evando);
05/10 - Para dar continuidade ao processo - emitir D O (Mariângela);
05/10 - Para CGOF emitir D.O.;
09/10 - Retorno do processo com D.O.;
10/10 - Para elaborar Despacho de encaminhamento (Evando);
24/10- Para dar continuidade ao processo - colher as assinaturas, e depois restituir à DIVCOL, para o registro no sistema(Carol);
25/10 - Para ratificação;
</t>
  </si>
  <si>
    <t xml:space="preserve">11/10 - Entrada do Processo na DIVCOL.
11/10 - Solicitado autorização ao órgão para aderir à ata no sistema (Mariângela);
23/10 - Enviado e-mail a COENG/Flávio informando que até o presente momento o órgão gerenciador da Ata não manifestou em relação ao pedido de Adesão;
24/10 - Órgão gerenciador autorizou a adesão. Despacho em elaboração;
24/10 - Á DIVCOL para revisão do Despacho de Adesão a Ata de Registro de Preço;
25/10 - Para solicitar ao requisitante a elaboração de quadro comparativo de preços (Mariângela);
</t>
  </si>
  <si>
    <t>Ajustar minuta de contrato para envio à ASJUR (Filipe);
17/05 - Processo redistribuído. Analisar os autos e elaborar Despacho de envio à ASJUR (Mariângela);
25/05 - Enviado e-mail ao requisitante. O requisitante informou que está aguardando resposta da empresa para fins de adequação do Termo de Referência (Mariângela);
29/06 - Devolvido o processo físico ao requisitante/Aguinaldo para fins de adequação do Termo de Referência;
05/07 - Retorno do processo. O processo será entregue à servidora Mariângela quando ela retornar de férias (16/07), enquanto isso ficará parado, uma vez que o quadro crítico de servidores da DIVCOL não possibilita a redistribuição do processo (Carol);
16/07 - Para dar continuidade ao processo (Mariângela);
30/07 - Enviado e-mail ao requisitante (CEPESC/Aguinaldo), solicitando esclarecerimentos (Mariângela);
16/08 - E-mail respondido com os esclarecimentos necessários.
17/08 - Revisão de despacho de encaminhamento a ASJUR (Carol);
17/08 - A COLICON para revisão, com destino final à ASJUR para Parecer. Fluxo: COLICON-CGAD-DAL-ASJUR;
17/09 - Retorno do processo;
18/09 - Para elaborar Despacho (Mariângela);
20/09 - Despacho de devolução dos autos ao requisitante para complementação (Carol);
20/09 - Processo físico encaminhado ao requisitante;
10/10 - A CGOF para readequação da D.O.;
15/10 - Processo físico entregue a CGOF:
18/10 - Retorno do processo;
18/10 - Para revisão do Despacho de Apontamento (Carol);
19/10 - Para ratificação;
22/10 - Retorno do processo;
23/10 - Para cadastrar inexigibilidade (Valter);
24/10 - Cadastrada inex;
25/10 - para dar continuidade do processo (Carol);
25/10 - Para empenho, em seguida à DIVCON para providências pertinentes;</t>
  </si>
  <si>
    <t>22/10 - Entrada do Processo na DIVCOL;
22/10 - Para analisar os autos e soliciatr D.O (Valter);
22/10 - Elaborado pedido de D O (Carol);
22/10 - Para emissão de DO;
25/10 - Retorno do Processo;
25/10 - Para cadastrar cotação (Valter);</t>
  </si>
  <si>
    <t>08/10 - Entrada do Processo na DIVCOL;
10/10 - Para analisar os autos e elaborar Despacho de D.O (Evando);
18/10 - Para dar continuidade ao processo - emitir D.O (Carol);
18/10 - Para emissão de D.O;
22/10 - Substituição de D.O (Carol);
22/10 - À CGOF para emitir uma nova D.O;
25/10 - Retorno do processo;
25/10 - Para cadastrar cotação (Evando);</t>
  </si>
  <si>
    <t>16/10 - Entrada do Processo na DIVCOL;
16/10 - Para analisar os autos e elaborar Despacho (Evando);
25/10 - Para dar continuidade ao processo - após assinaturas, restituir à DIVCOL, para o registro no sistema.(Carol);
25/10 - Para ratificação;</t>
  </si>
  <si>
    <t>25/10 - Entrada do Processo na DIVCOL;
25/10 - Para abrir pasta do processo, solicitar arquivo do TR e elaborar edital (Mourão);</t>
  </si>
  <si>
    <t xml:space="preserve">24/08 - Entrada do Processo na DIVCOL;
28/08 - Solicitar Termos de Ciência dos fiscais (Evando);
30/08 - Para dar continuidade ao processo;
30/08 - Para exercer as funções de integrante administrativo (Mariângela);
Integrantes requisitantes estão de férias, aguardando o retorno no dia 10/09.
05/09 - Para elaborar edital (Eduardo/SEPB); 
10/09 - Processo físico entregue a unidade requisitante para elaborar TR (Lívia/COSERGE);
09/10 - Retorno do processo com os Estudos Preliiminares, Mapa de Riscos e TR;
10/10 - Para elaboração de Edital e Despacho de Encaminhamento (Eduardo);
19/10 - Para revisão (Carol);
23/10 - Para correção do edital (Mourão);
25/10 - Para revisão do Despacho;
25/10 - Para solução de pendências apontadas no Despacho (Thiago);
</t>
  </si>
  <si>
    <t xml:space="preserve">Processo encontra-se com o Administrativo para elaboração de Despacho de designação da equipe de planejamento;
16/05 - Designação da equipe de planejamento (Colicon);
17/05 - Retorno do processo (Carol);
22/05 - Integrante administrativo de licença médica.
04/06 - Servidora retornou de licença;
04/06 - Para solicitar ao integrante requisitante a elaboração dos Estudos Preliminares, Mapa de Risco, TR, e elaborar edital (Marta);
07/06 - E-mail enviado para requisitante. Prazo de resposta até 28/06;
29/06 - Sem resposta do requisitante e insucesso na comunicação via telefone. Outro E- mail enviado ao requisitante para obter alguma resposta.(SEM PRAZO);                                                       
03/07 - Processo físico devolvido ao requisitante para responder e-mails enviados anteriormente (Daniel/DIVTROF);
13/09 - Retorno do processo;
13/09 - Para elaboração de edital (Eduardo);
26/09 - Processo será distribuído para Mourão. Aguardando liberação de acesso às pastas da DIVCOL;
16/10 - Processo redistribuído. Para análise dos autos (Lorene);
23/10 - Para elaborar Despacho de devolução ao requsitante (Mariângela);
24/10 - Para elaborar Despacho de devolução ao requsitante (Mourão);
25/10 - Para revisão do Despacho;
25/10 - Para solução de pendências apontadas no Despacho (Thiago);
</t>
  </si>
  <si>
    <t xml:space="preserve">25/10 - Entrada do Processo na DIVCOL;
25/10 - Para analisar os autos e elaborar Despacho (Eduardo);
25/10 - Despacho elaborado. Para revisão (Carol);
25/10 - Para ratificação; 
</t>
  </si>
  <si>
    <t xml:space="preserve"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 área requisitante e técnica, após a manifestação da futura contratada.
09/08 - Foi recebido pela Divcol o TR assinado pelas áreas requisitante e técnica;
09/08 - À Divcol para revisão do Despacho de encaminhamento (Carol);
10/08 - À COLICON para revisão do Despacho de encaminhamento à Asjur. Fluxo: COLICON-CGAD-DAL-ASJUR;
13/08 - Para ajustes (Mariângela);
13/08 - À COLICON para revisão do Despacho de encaminhamento à Asjur. Fluxo: COLICON-CGAD-DAL-ASJUR;
30/08 - Retorno do processo;
31/08 - Processo físico encaminhado à unidade requisitante para responder questionamentos da ASJUR;
11/09 - Retorno do processo;
11/09 - Para elaborar Despacho de apontamento (Mariângela);
11/09 - Elaborado Despacho solicitando emissão de DO (Mariângela);
12/09 - Para emissão de D.O;
17/09 - Retorno do processo;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Aguardando a cópia autenticada da Carta de Exclusividade da empresa a ser contratada, Sr. Alexandre Pasiani está providenciando;
09/10 - Reiterei e-mail enviado ao requisitante (Alexandre Pasiani) solicitando cópia autenticada da Carta de Exclusividade da empresa a ser contratada (Mariângela);
24/10 - Recebido despacho da área requisitante (Alexandre Pasiani) justificando a contratação;
24/10 - Elaborando Despacho de Apontamento (Mariângela);
25/10 - Revisão do Despacho de Apontamento;
25/10 - Para ratificação;
</t>
  </si>
  <si>
    <t>14/08 - Entrada do Processo na DIVCOL;
15/08 - Para conferir valores informados no TR e solicitar ao requisitante arquivo do TR (Valter);
17/08 - Ao conferir os valores lançados no anexo I do TR, foi constatado que houve um equivoco ao laçar o valor do item 10, o requisitante foi informado e fez a devida correção, mandando o arquivo por email já alterado;
17/08 - Para dar continuidade ao processo (Carol);
17/08 - Aguardando a chegada da Sabrina/SEMT, prevista para o dia 22/08;
22/08 - Para elaborar edital (Sabrina);
30/08 - Processo a ser redistribuído (Carol);
31/08 - Para elaborar edita (Eduardo/SEPB);
04/09 - IRP cadastrada. Data limite para manifestação dos órgãos: 12/09. (Eduardo/SEPB);
 17/09 - Para revisão (Carol);
19/09 - Para ajustes (Eduardo);
19/09 - Para revisão (Carol);
19/09 - À COLICON para revisão com destino final à ASJUR. Fluxo: COLICON-CGAD-DAL-ASJUR;
23/10 - Retorno do processo;
23/10 - Para elaborar Despacho de apontamento e cadastrar licitação (Mariângela);
24/10 - Despacho de apontamento elaborado (Carol);
25/10 - Para assinatura do Despacho de apontamento. Fluxo: COLICON-CGAD-DAL;
25/10 - Retorno do processo;</t>
  </si>
  <si>
    <t xml:space="preserve">10/10 - Entrada do Processo na DIVCOL;
10/10 - Para analisar os autos e elaborar Despacho de D.O (Evando);
22/10 - Processo redistribuído ao Eduardo para dar continuidade ao precesso (Eduardo);
23/10 - Recebidos DFD e Declaração de ciência fiscal substituto (Eduardo);
24/10 - Solicitado à COENG Termo de Ciência assinado pelo integrante técnico que comporá a Equipe de Planejamento (Eduardo);
25/10 - Despacho elaborado. Para prosseguimento do processo (Carol);
</t>
  </si>
  <si>
    <t xml:space="preserve">22/10 - Entrada do Processo na DIVCOL;
22/10 - Para analisar os autos e verificar com  COENG se os serviços serão executados conforme orçamento SINAPI que cosnta nos autos e se trata de serviço ou material (Eduardo);
23/10 - Recebidos DFD e Declaração de ciência do fiscal substituto. Requisitante confirmou tratar-se de serviço (Eduardo);
24/10 - Solicitado à COENG Termo de Ciência assinado pelo integrante técnico que comporá a Equipe de Planejamento (Eduardo);
25/10 - Despacho elaborado. Para prosseguimento do processo (Carol);
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</si>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</sst>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/yy;@"/>
    <numFmt numFmtId="167" formatCode="&quot;R$&quot;\ #,##0.00"/>
  </numFmts>
  <fonts count="23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7.5"/>
      <name val="Arial"/>
      <family val="2"/>
    </font>
    <font>
      <b/>
      <sz val="9"/>
      <color rgb="FFC00000"/>
      <name val="Arial"/>
      <family val="2"/>
    </font>
    <font>
      <b/>
      <sz val="8"/>
      <color rgb="FFC00000"/>
      <name val="Arial"/>
      <family val="2"/>
    </font>
    <font>
      <sz val="10"/>
      <color rgb="FFC0000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el"/>
    </font>
    <font>
      <sz val="8"/>
      <color theme="1"/>
      <name val="Ariel"/>
    </font>
    <font>
      <b/>
      <sz val="8"/>
      <color rgb="FFFF0000"/>
      <name val="Ariel"/>
    </font>
    <font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17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2" fillId="0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12" fillId="4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13" fillId="0" borderId="1" xfId="0" applyFont="1" applyFill="1" applyBorder="1" applyAlignment="1">
      <alignment horizontal="left" vertical="top" wrapText="1"/>
    </xf>
    <xf numFmtId="17" fontId="4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" fontId="0" fillId="0" borderId="0" xfId="0" applyNumberFormat="1" applyBorder="1" applyAlignment="1">
      <alignment vertical="top" wrapText="1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2" fillId="0" borderId="0" xfId="0" applyFont="1"/>
    <xf numFmtId="17" fontId="4" fillId="0" borderId="1" xfId="0" applyNumberFormat="1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166" fontId="4" fillId="0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9" fillId="4" borderId="4" xfId="0" applyNumberFormat="1" applyFont="1" applyFill="1" applyBorder="1" applyAlignment="1">
      <alignment vertical="top" wrapText="1"/>
    </xf>
    <xf numFmtId="14" fontId="11" fillId="4" borderId="1" xfId="0" applyNumberFormat="1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top" wrapText="1"/>
    </xf>
    <xf numFmtId="0" fontId="6" fillId="3" borderId="6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vertical="top" wrapText="1"/>
    </xf>
    <xf numFmtId="0" fontId="1" fillId="4" borderId="2" xfId="0" applyFont="1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9" fillId="3" borderId="9" xfId="0" applyFont="1" applyFill="1" applyBorder="1" applyAlignment="1">
      <alignment vertical="top" wrapText="1"/>
    </xf>
    <xf numFmtId="0" fontId="1" fillId="4" borderId="3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" fillId="4" borderId="10" xfId="0" applyFont="1" applyFill="1" applyBorder="1" applyAlignment="1">
      <alignment vertical="top" wrapText="1"/>
    </xf>
    <xf numFmtId="1" fontId="4" fillId="0" borderId="10" xfId="0" applyNumberFormat="1" applyFont="1" applyBorder="1" applyAlignment="1">
      <alignment wrapText="1"/>
    </xf>
    <xf numFmtId="17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wrapText="1"/>
    </xf>
    <xf numFmtId="1" fontId="4" fillId="0" borderId="1" xfId="0" applyNumberFormat="1" applyFont="1" applyBorder="1" applyAlignment="1">
      <alignment vertical="top" wrapText="1"/>
    </xf>
    <xf numFmtId="1" fontId="4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Fill="1" applyBorder="1" applyAlignment="1">
      <alignment horizontal="left" wrapText="1"/>
    </xf>
    <xf numFmtId="0" fontId="19" fillId="0" borderId="1" xfId="0" applyFont="1" applyBorder="1" applyAlignment="1">
      <alignment vertical="top" wrapText="1"/>
    </xf>
    <xf numFmtId="1" fontId="19" fillId="0" borderId="1" xfId="0" applyNumberFormat="1" applyFont="1" applyBorder="1" applyAlignment="1">
      <alignment vertical="top" wrapText="1"/>
    </xf>
    <xf numFmtId="166" fontId="19" fillId="0" borderId="1" xfId="0" applyNumberFormat="1" applyFont="1" applyFill="1" applyBorder="1" applyAlignment="1">
      <alignment horizontal="left" vertical="center" wrapText="1"/>
    </xf>
    <xf numFmtId="166" fontId="19" fillId="0" borderId="1" xfId="0" applyNumberFormat="1" applyFont="1" applyFill="1" applyBorder="1" applyAlignment="1">
      <alignment horizontal="left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top" wrapText="1"/>
    </xf>
    <xf numFmtId="165" fontId="21" fillId="0" borderId="1" xfId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165" fontId="19" fillId="0" borderId="1" xfId="1" applyFont="1" applyBorder="1" applyAlignment="1">
      <alignment vertical="center"/>
    </xf>
    <xf numFmtId="165" fontId="21" fillId="0" borderId="1" xfId="1" applyFont="1" applyBorder="1" applyAlignment="1">
      <alignment vertical="center"/>
    </xf>
    <xf numFmtId="165" fontId="20" fillId="0" borderId="4" xfId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165" fontId="19" fillId="0" borderId="4" xfId="1" applyFont="1" applyBorder="1" applyAlignment="1">
      <alignment horizontal="center" vertical="center"/>
    </xf>
    <xf numFmtId="165" fontId="20" fillId="0" borderId="4" xfId="1" applyFont="1" applyBorder="1" applyAlignment="1">
      <alignment horizontal="center"/>
    </xf>
    <xf numFmtId="165" fontId="20" fillId="0" borderId="4" xfId="1" applyFont="1" applyFill="1" applyBorder="1" applyAlignment="1">
      <alignment horizontal="center" vertical="center"/>
    </xf>
    <xf numFmtId="165" fontId="18" fillId="0" borderId="4" xfId="1" applyFont="1" applyBorder="1" applyAlignment="1">
      <alignment horizontal="center"/>
    </xf>
    <xf numFmtId="0" fontId="1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9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165" fontId="19" fillId="0" borderId="4" xfId="1" applyFont="1" applyFill="1" applyBorder="1" applyAlignment="1">
      <alignment horizontal="center" vertical="center"/>
    </xf>
    <xf numFmtId="165" fontId="19" fillId="0" borderId="4" xfId="1" applyFont="1" applyBorder="1" applyAlignment="1">
      <alignment vertical="center"/>
    </xf>
    <xf numFmtId="0" fontId="0" fillId="0" borderId="1" xfId="0" applyBorder="1"/>
    <xf numFmtId="167" fontId="15" fillId="0" borderId="0" xfId="0" applyNumberFormat="1" applyFont="1" applyAlignment="1">
      <alignment wrapText="1"/>
    </xf>
    <xf numFmtId="165" fontId="4" fillId="0" borderId="1" xfId="1" applyFont="1" applyBorder="1" applyAlignment="1">
      <alignment vertical="center" wrapText="1"/>
    </xf>
    <xf numFmtId="165" fontId="0" fillId="0" borderId="1" xfId="1" applyFont="1" applyBorder="1" applyAlignment="1">
      <alignment horizontal="center" vertical="center" wrapText="1"/>
    </xf>
    <xf numFmtId="165" fontId="19" fillId="0" borderId="4" xfId="1" applyFont="1" applyBorder="1" applyAlignment="1">
      <alignment vertical="center" wrapText="1"/>
    </xf>
    <xf numFmtId="0" fontId="22" fillId="0" borderId="0" xfId="0" applyFont="1" applyAlignment="1">
      <alignment wrapText="1"/>
    </xf>
    <xf numFmtId="164" fontId="0" fillId="0" borderId="1" xfId="0" applyNumberFormat="1" applyBorder="1" applyAlignment="1">
      <alignment wrapText="1"/>
    </xf>
    <xf numFmtId="0" fontId="19" fillId="0" borderId="1" xfId="0" applyFont="1" applyBorder="1" applyAlignment="1">
      <alignment vertical="center" wrapText="1"/>
    </xf>
    <xf numFmtId="0" fontId="3" fillId="0" borderId="0" xfId="0" applyFont="1" applyFill="1" applyBorder="1" applyAlignment="1">
      <alignment vertical="top"/>
    </xf>
    <xf numFmtId="0" fontId="9" fillId="0" borderId="0" xfId="0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wrapText="1"/>
    </xf>
    <xf numFmtId="0" fontId="0" fillId="0" borderId="1" xfId="0" applyBorder="1" applyAlignment="1">
      <alignment horizontal="center" wrapText="1"/>
    </xf>
    <xf numFmtId="0" fontId="10" fillId="3" borderId="4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1" fontId="19" fillId="0" borderId="4" xfId="0" applyNumberFormat="1" applyFont="1" applyBorder="1" applyAlignment="1">
      <alignment horizontal="center" vertical="top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4602216565433"/>
          <c:y val="0.18209726829377501"/>
          <c:w val="0.84446919557285538"/>
          <c:h val="0.81413246348229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Dados!$C$1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Dados!$A$3:$A$11</c:f>
              <c:strCache>
                <c:ptCount val="9"/>
                <c:pt idx="0">
                  <c:v>Instrução inicial</c:v>
                </c:pt>
                <c:pt idx="1">
                  <c:v>Elaboração de edital</c:v>
                </c:pt>
                <c:pt idx="2">
                  <c:v>Devolvido ao requisitante</c:v>
                </c:pt>
                <c:pt idx="3">
                  <c:v>Chefia da DIVCOL</c:v>
                </c:pt>
                <c:pt idx="4">
                  <c:v>Enviado à ASJUR</c:v>
                </c:pt>
                <c:pt idx="5">
                  <c:v>Análise pós ASJUR</c:v>
                </c:pt>
                <c:pt idx="6">
                  <c:v>Envio CGOF</c:v>
                </c:pt>
                <c:pt idx="7">
                  <c:v>Pregão</c:v>
                </c:pt>
                <c:pt idx="8">
                  <c:v>Instrução final</c:v>
                </c:pt>
              </c:strCache>
            </c:strRef>
          </c:cat>
          <c:val>
            <c:numRef>
              <c:f>Dados!$C$3:$C$11</c:f>
              <c:numCache>
                <c:formatCode>General</c:formatCode>
                <c:ptCount val="9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3</c:v>
                </c:pt>
                <c:pt idx="4">
                  <c:v>13</c:v>
                </c:pt>
                <c:pt idx="5">
                  <c:v>1</c:v>
                </c:pt>
                <c:pt idx="6">
                  <c:v>4</c:v>
                </c:pt>
                <c:pt idx="7">
                  <c:v>20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251-95DD-6474ED299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176"/>
        <c:axId val="117253072"/>
      </c:barChart>
      <c:catAx>
        <c:axId val="1762861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17253072"/>
        <c:crosses val="autoZero"/>
        <c:auto val="1"/>
        <c:lblAlgn val="ctr"/>
        <c:lblOffset val="100"/>
        <c:noMultiLvlLbl val="0"/>
      </c:catAx>
      <c:valAx>
        <c:axId val="1172530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6286176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022012680513701E-2"/>
          <c:y val="0.12350137432161974"/>
          <c:w val="0.97998423036626592"/>
          <c:h val="0.86169718752930802"/>
        </c:manualLayout>
      </c:layout>
      <c:doughnutChart>
        <c:varyColors val="1"/>
        <c:ser>
          <c:idx val="0"/>
          <c:order val="0"/>
          <c:tx>
            <c:strRef>
              <c:f>Dados!$G$3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35-43A4-BCE5-1F4C33E285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35-43A4-BCE5-1F4C33E285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35-43A4-BCE5-1F4C33E285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35-43A4-BCE5-1F4C33E285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35-43A4-BCE5-1F4C33E285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D35-43A4-BCE5-1F4C33E285D9}"/>
              </c:ext>
            </c:extLst>
          </c:dPt>
          <c:dLbls>
            <c:dLbl>
              <c:idx val="0"/>
              <c:layout>
                <c:manualLayout>
                  <c:x val="-1.3714265364014294E-2"/>
                  <c:y val="-7.233230072123229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61914896242011"/>
                      <c:h val="0.380013049115606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D35-43A4-BCE5-1F4C33E285D9}"/>
                </c:ext>
              </c:extLst>
            </c:dLbl>
            <c:dLbl>
              <c:idx val="2"/>
              <c:layout>
                <c:manualLayout>
                  <c:x val="8.2648572647955776E-2"/>
                  <c:y val="2.84706354111689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185407259357961"/>
                      <c:h val="0.109840597729387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D35-43A4-BCE5-1F4C33E285D9}"/>
                </c:ext>
              </c:extLst>
            </c:dLbl>
            <c:dLbl>
              <c:idx val="3"/>
              <c:layout>
                <c:manualLayout>
                  <c:x val="9.3460155506759623E-4"/>
                  <c:y val="8.065544395543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047002615540267"/>
                      <c:h val="0.31065383725555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D35-43A4-BCE5-1F4C33E285D9}"/>
                </c:ext>
              </c:extLst>
            </c:dLbl>
            <c:dLbl>
              <c:idx val="4"/>
              <c:layout>
                <c:manualLayout>
                  <c:x val="-0.16599928751202903"/>
                  <c:y val="-9.05877525048760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Inexig.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613813013546521"/>
                      <c:h val="0.130746921065857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D35-43A4-BCE5-1F4C33E285D9}"/>
                </c:ext>
              </c:extLst>
            </c:dLbl>
            <c:dLbl>
              <c:idx val="5"/>
              <c:layout>
                <c:manualLayout>
                  <c:x val="0.18850087595923706"/>
                  <c:y val="-9.59327176233533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35-43A4-BCE5-1F4C33E28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Dados!$F$4:$F$9</c:f>
              <c:strCache>
                <c:ptCount val="6"/>
                <c:pt idx="0">
                  <c:v>Pregões</c:v>
                </c:pt>
                <c:pt idx="1">
                  <c:v>SRP</c:v>
                </c:pt>
                <c:pt idx="2">
                  <c:v>Dispensa</c:v>
                </c:pt>
                <c:pt idx="3">
                  <c:v>Dispensa PV</c:v>
                </c:pt>
                <c:pt idx="4">
                  <c:v>Inexigibilidade</c:v>
                </c:pt>
                <c:pt idx="5">
                  <c:v>Ata</c:v>
                </c:pt>
              </c:strCache>
            </c:strRef>
          </c:cat>
          <c:val>
            <c:numRef>
              <c:f>Dados!$G$4:$G$9</c:f>
              <c:numCache>
                <c:formatCode>General</c:formatCode>
                <c:ptCount val="6"/>
                <c:pt idx="0">
                  <c:v>29</c:v>
                </c:pt>
                <c:pt idx="1">
                  <c:v>12</c:v>
                </c:pt>
                <c:pt idx="2">
                  <c:v>10</c:v>
                </c:pt>
                <c:pt idx="3">
                  <c:v>5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5-43A4-BCE5-1F4C33E28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14653</xdr:colOff>
      <xdr:row>1</xdr:row>
      <xdr:rowOff>12381</xdr:rowOff>
    </xdr:from>
    <xdr:to>
      <xdr:col>5</xdr:col>
      <xdr:colOff>644767</xdr:colOff>
      <xdr:row>1</xdr:row>
      <xdr:rowOff>1084385</xdr:rowOff>
    </xdr:to>
    <xdr:graphicFrame macro="">
      <xdr:nvGraphicFramePr>
        <xdr:cNvPr id="1123" name="Gráfico 3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1013460</xdr:rowOff>
        </xdr:from>
        <xdr:to>
          <xdr:col>8</xdr:col>
          <xdr:colOff>99060</xdr:colOff>
          <xdr:row>2</xdr:row>
          <xdr:rowOff>7620</xdr:rowOff>
        </xdr:to>
        <xdr:sp macro="" textlink="">
          <xdr:nvSpPr>
            <xdr:cNvPr id="2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ativos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1021080</xdr:rowOff>
        </xdr:from>
        <xdr:to>
          <xdr:col>6</xdr:col>
          <xdr:colOff>1211580</xdr:colOff>
          <xdr:row>2</xdr:row>
          <xdr:rowOff>7620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processos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1210855</xdr:colOff>
      <xdr:row>1</xdr:row>
      <xdr:rowOff>14654</xdr:rowOff>
    </xdr:from>
    <xdr:to>
      <xdr:col>6</xdr:col>
      <xdr:colOff>2507719</xdr:colOff>
      <xdr:row>1</xdr:row>
      <xdr:rowOff>1099039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716280</xdr:rowOff>
        </xdr:from>
        <xdr:to>
          <xdr:col>1</xdr:col>
          <xdr:colOff>7620</xdr:colOff>
          <xdr:row>1</xdr:row>
          <xdr:rowOff>922020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937260</xdr:rowOff>
        </xdr:from>
        <xdr:to>
          <xdr:col>0</xdr:col>
          <xdr:colOff>693420</xdr:colOff>
          <xdr:row>2</xdr:row>
          <xdr:rowOff>7620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3</xdr:row>
          <xdr:rowOff>0</xdr:rowOff>
        </xdr:to>
        <xdr:sp macro="" textlink="">
          <xdr:nvSpPr>
            <xdr:cNvPr id="1141" name="TextBox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2026920</xdr:colOff>
          <xdr:row>2</xdr:row>
          <xdr:rowOff>0</xdr:rowOff>
        </xdr:from>
        <xdr:to>
          <xdr:col>4</xdr:col>
          <xdr:colOff>7620</xdr:colOff>
          <xdr:row>3</xdr:row>
          <xdr:rowOff>0</xdr:rowOff>
        </xdr:to>
        <xdr:sp macro="" textlink="">
          <xdr:nvSpPr>
            <xdr:cNvPr id="1142" name="TextBox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1188720</xdr:rowOff>
        </xdr:from>
        <xdr:to>
          <xdr:col>4</xdr:col>
          <xdr:colOff>731520</xdr:colOff>
          <xdr:row>3</xdr:row>
          <xdr:rowOff>0</xdr:rowOff>
        </xdr:to>
        <xdr:sp macro="" textlink="">
          <xdr:nvSpPr>
            <xdr:cNvPr id="1143" name="TextBox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746760</xdr:colOff>
          <xdr:row>2</xdr:row>
          <xdr:rowOff>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1144" name="TextBox6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6</xdr:col>
          <xdr:colOff>3741420</xdr:colOff>
          <xdr:row>3</xdr:row>
          <xdr:rowOff>7620</xdr:rowOff>
        </xdr:to>
        <xdr:sp macro="" textlink="">
          <xdr:nvSpPr>
            <xdr:cNvPr id="1145" name="TextBox7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6713220</xdr:colOff>
          <xdr:row>2</xdr:row>
          <xdr:rowOff>0</xdr:rowOff>
        </xdr:from>
        <xdr:to>
          <xdr:col>10</xdr:col>
          <xdr:colOff>7620</xdr:colOff>
          <xdr:row>3</xdr:row>
          <xdr:rowOff>0</xdr:rowOff>
        </xdr:to>
        <xdr:sp macro="" textlink="">
          <xdr:nvSpPr>
            <xdr:cNvPr id="1146" name="TextBox8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0</xdr:rowOff>
        </xdr:from>
        <xdr:to>
          <xdr:col>0</xdr:col>
          <xdr:colOff>685800</xdr:colOff>
          <xdr:row>3</xdr:row>
          <xdr:rowOff>7620</xdr:rowOff>
        </xdr:to>
        <xdr:sp macro="" textlink="">
          <xdr:nvSpPr>
            <xdr:cNvPr id="1147" name="TextBox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1188720</xdr:rowOff>
        </xdr:from>
        <xdr:to>
          <xdr:col>2</xdr:col>
          <xdr:colOff>0</xdr:colOff>
          <xdr:row>3</xdr:row>
          <xdr:rowOff>7620</xdr:rowOff>
        </xdr:to>
        <xdr:sp macro="" textlink="">
          <xdr:nvSpPr>
            <xdr:cNvPr id="1148" name="TextBox2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ER LUIS DE PAULA SILVA" refreshedDate="43238.484465046298" createdVersion="5" refreshedVersion="5" minRefreshableVersion="3" recordCount="697" xr:uid="{00000000-000A-0000-FFFF-FFFF00000000}">
  <cacheSource type="worksheet">
    <worksheetSource ref="A4:I116" sheet="Processos"/>
  </cacheSource>
  <cacheFields count="9">
    <cacheField name="Resp." numFmtId="0">
      <sharedItems containsBlank="1"/>
    </cacheField>
    <cacheField name="Processo" numFmtId="0">
      <sharedItems containsBlank="1"/>
    </cacheField>
    <cacheField name="Assunto" numFmtId="0">
      <sharedItems containsBlank="1" count="59">
        <s v="Aquisição de ar condicionado"/>
        <s v="Aquisição de solução de segurança da informação e auditoria"/>
        <s v="Serviços de limpeza"/>
        <s v="Manutenção de Ar condicionado "/>
        <s v="Manutenção preventiva e corretiva em elevador"/>
        <s v="Serviços de dedetização"/>
        <s v="Contratação de empresa para ministrar Workshop "/>
        <s v="Contratação de link redundante"/>
        <s v="Serviço de Nobreak"/>
        <s v="Locação de veículo"/>
        <s v="Instalação de divisórias"/>
        <s v="Serviços de limpeza - Sede"/>
        <s v="Aqusição de equipamentos eletrônicos"/>
        <s v="Locação"/>
        <s v="Projeto subestação"/>
        <s v="Manutenção corretiva e preventiva em condicionadores de ar"/>
        <s v="Modernização Bloco C"/>
        <s v="Serviço de acesso à internte via rádio"/>
        <s v="Aparelhos e utensílios domesticos"/>
        <s v="Serviço de vigilânica"/>
        <s v="Serviço de dedetização"/>
        <s v="Limpeza e Conservação"/>
        <s v="Manutenção Predial"/>
        <s v="Aquisição de lixeiras SRP"/>
        <s v="Aquisição de móveis"/>
        <s v="Fornecimento de energia elétrica"/>
        <s v="Aquisição de materiais para plotadora"/>
        <s v="Aquisição de cadeiras"/>
        <s v="Cessão de imóvel"/>
        <s v="Aquisição de material elétrico-eletrônico"/>
        <s v="Aquisição de CAFÉ"/>
        <s v="Aquisição de GLP"/>
        <s v="Aquisição de mobiliário"/>
        <s v="Aquisição de café e açúcar"/>
        <s v="Aqusição de material de expediente"/>
        <s v="Aqusição de café e açúcar (agricultor familiar)"/>
        <s v="Serviço de vigilância"/>
        <s v="Serviço de Portaria"/>
        <s v="Aquisição, instalação e manutenção de gerador fotovoltáicos"/>
        <s v="Manutenção corretiva de ar condicionado "/>
        <s v="Desinstalação e instalação de ar condicionado"/>
        <s v="Serviço de limpeza e higienização de ar condicionado "/>
        <s v="Aquisição de café açúcar, papel A4"/>
        <s v="Aquisição de material de lavanderia"/>
        <s v="Manutenção de cerca elétrica"/>
        <s v="Aquisição e instalação de persiana"/>
        <s v="Disponibilização de sala da sede para AOFI "/>
        <s v="Serviço de dedetização "/>
        <s v="Cessão de uso para ASBIN"/>
        <s v="Contrato de prestação de serviços com Serpro "/>
        <s v="Serviço de consulta ao banco de dados CDL "/>
        <s v="Serviço de transporte para o curso CAI"/>
        <s v="Sanção administrativa Brasal Combustível"/>
        <s v="Aquisição de solução integrada de transmissão de áudio e vídeo (Plano Rio)"/>
        <s v="Recarga de extintor"/>
        <s v="Aquisição de cafeteira elétrica"/>
        <s v="Serviço de clipping eletrônico Jornalístico"/>
        <s v="Mudança de imóvel"/>
        <m/>
      </sharedItems>
    </cacheField>
    <cacheField name="Origem" numFmtId="0">
      <sharedItems containsBlank="1" count="32">
        <s v="SEPE_x000a_SEAP_x000a_SECE_x000a_SEMT"/>
        <s v="CEPESC"/>
        <s v="SEMA"/>
        <s v="SEPR"/>
        <s v="SEPE"/>
        <s v="SEGO"/>
        <s v="SEBA"/>
        <s v="DGP"/>
        <s v="COENG"/>
        <s v="DIVTROF"/>
        <s v="SERO"/>
        <s v="COSERGE"/>
        <s v="SERS"/>
        <s v="SERN"/>
        <s v="SEAL"/>
        <s v="COMAP"/>
        <s v="SECE"/>
        <s v="SEMS"/>
        <s v="SERR"/>
        <s v="SEPI"/>
        <s v="ESINT"/>
        <s v="SEPB"/>
        <s v="SEMT"/>
        <s v="SERJ"/>
        <s v="SETO"/>
        <s v="SPG"/>
        <s v="SEGOR"/>
        <s v="COLICON"/>
        <s v="SEMG"/>
        <s v="SESC"/>
        <s v="ARIC"/>
        <m/>
      </sharedItems>
    </cacheField>
    <cacheField name="Mod." numFmtId="0">
      <sharedItems containsBlank="1"/>
    </cacheField>
    <cacheField name="Preg/Disp" numFmtId="0">
      <sharedItems containsBlank="1"/>
    </cacheField>
    <cacheField name="Subfase/observações" numFmtId="0">
      <sharedItems containsBlank="1"/>
    </cacheField>
    <cacheField name="Fase" numFmtId="0">
      <sharedItems containsBlank="1" count="11">
        <s v="Elaboração de edital"/>
        <s v="Instrução final"/>
        <s v="Devolvido ao requisitante"/>
        <s v="Análise pós ASJUR"/>
        <s v="Pregão"/>
        <s v="Enviado à ASJUR"/>
        <s v="Instrução inicial"/>
        <s v="Envio CGOF"/>
        <s v="Envio à DIVCON"/>
        <s v="Pré-autuação"/>
        <m/>
      </sharedItems>
    </cacheField>
    <cacheField name="NF" numFmtId="1">
      <sharedItems containsMixedTypes="1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7">
  <r>
    <s v="Antonio"/>
    <s v="1756/2016"/>
    <x v="0"/>
    <x v="0"/>
    <s v="Pregão"/>
    <m/>
    <s v="Elaborar Termo de Referência único"/>
    <x v="0"/>
    <n v="3"/>
  </r>
  <r>
    <s v="Carol"/>
    <s v="2066/2017"/>
    <x v="1"/>
    <x v="1"/>
    <s v="Adesão à ata"/>
    <m/>
    <s v="Processo suspenso por falta de recurso_x000a_15/05 - Solicitar adesão pelo sistema Gestão de ata (Filipe) _x000a_17/05 - Finalizar a inclusão no sistema (Carol)_x000a_17/05 - Aguardando o aceite do órgão gerenciador (Carol)"/>
    <x v="1"/>
    <n v="10"/>
  </r>
  <r>
    <s v="Marta"/>
    <s v="377/2017"/>
    <x v="2"/>
    <x v="2"/>
    <s v="Dispensa"/>
    <m/>
    <s v="No aguardo do envio da proposta pela unidade requisitante"/>
    <x v="2"/>
    <n v="4"/>
  </r>
  <r>
    <s v="Elizabete"/>
    <s v="685/2017"/>
    <x v="3"/>
    <x v="3"/>
    <s v="Pregão"/>
    <m/>
    <s v="Elaborar despacho de apontamento (Mariângela)_x000a_16/05 - Revisar Despacho (Carol)_x000a_17/05 - Ao DAL para aprovação (Colicon)"/>
    <x v="3"/>
    <n v="7"/>
  </r>
  <r>
    <s v="Antonio"/>
    <s v="1059/207"/>
    <x v="4"/>
    <x v="4"/>
    <s v="Pregão"/>
    <m/>
    <s v="Lançar pregão (Filipe)_x000a_17/05 Processo a ser redistribuído (Carol)"/>
    <x v="4"/>
    <n v="9"/>
  </r>
  <r>
    <s v="Mariângela"/>
    <s v="1136/2017"/>
    <x v="5"/>
    <x v="5"/>
    <s v="Pregão"/>
    <m/>
    <s v="14/05 - À ASJUR para parecer"/>
    <x v="5"/>
    <n v="6"/>
  </r>
  <r>
    <s v="Marta"/>
    <s v="1159/2017"/>
    <x v="3"/>
    <x v="6"/>
    <s v="Pregão"/>
    <m/>
    <s v="Processo encontra-se na COENG para análise"/>
    <x v="2"/>
    <n v="4"/>
  </r>
  <r>
    <s v="Antonio"/>
    <s v="1526/2017"/>
    <x v="6"/>
    <x v="7"/>
    <s v="Inexigibilidade"/>
    <m/>
    <m/>
    <x v="5"/>
    <n v="6"/>
  </r>
  <r>
    <s v="Mariângela"/>
    <s v="1548/2017"/>
    <x v="7"/>
    <x v="1"/>
    <s v="Dispensa"/>
    <m/>
    <s v="Ajustar minuta de contrato para envio à ASJUR (Filipe)_x000a_17/05 - Processo redistribuído. Elaborar Despacho de evio à ASJUR (Mariângela) "/>
    <x v="2"/>
    <n v="4"/>
  </r>
  <r>
    <s v="Antonio"/>
    <s v="1690/2017"/>
    <x v="0"/>
    <x v="8"/>
    <s v="Pregão"/>
    <m/>
    <s v="Elaborar Despacho de homologação_x000a_16/05 - Revisar despacho (Carol)"/>
    <x v="1"/>
    <n v="10"/>
  </r>
  <r>
    <s v="Mariângela"/>
    <s v="1818/2017"/>
    <x v="8"/>
    <x v="8"/>
    <s v="Pregão"/>
    <m/>
    <s v="Fase de habilitação"/>
    <x v="4"/>
    <n v="9"/>
  </r>
  <r>
    <s v="Antonio"/>
    <s v="1825/2017"/>
    <x v="5"/>
    <x v="6"/>
    <s v="Dispensa"/>
    <m/>
    <s v="16/05/18 - Elaborar edital (Antonio)"/>
    <x v="0"/>
    <n v="3"/>
  </r>
  <r>
    <s v="Marta"/>
    <s v="1865/2017"/>
    <x v="9"/>
    <x v="9"/>
    <s v="Pregão"/>
    <m/>
    <s v="Processo encontra-se com o Administrativo para elaboração de Despacho de designação da equipe de planejamento._x000a_16/05 - Designação da equipe de planejamento (Colicon)_x000a_17/05 - Retorno do processo (Carol)"/>
    <x v="6"/>
    <n v="2"/>
  </r>
  <r>
    <s v="Mariângela"/>
    <s v="2010/2017"/>
    <x v="10"/>
    <x v="10"/>
    <s v="Pregão"/>
    <m/>
    <m/>
    <x v="5"/>
    <n v="6"/>
  </r>
  <r>
    <s v="Marta"/>
    <s v="2065/2017"/>
    <x v="11"/>
    <x v="11"/>
    <s v="Pregão"/>
    <s v="010/2018"/>
    <s v="Pregão será republicado (Filipe)_x000a_17/05 - Processo a ser redistribuído. Data de abertura do pregão: 28/05 (Carol)"/>
    <x v="4"/>
    <n v="9"/>
  </r>
  <r>
    <s v="Mariângela"/>
    <s v="2068/2017"/>
    <x v="12"/>
    <x v="1"/>
    <s v="Pregão"/>
    <m/>
    <m/>
    <x v="0"/>
    <n v="3"/>
  </r>
  <r>
    <s v="Mariângela"/>
    <s v="2069/2018"/>
    <x v="2"/>
    <x v="3"/>
    <s v="Pregão"/>
    <m/>
    <s v="Revisar planilha"/>
    <x v="0"/>
    <n v="3"/>
  </r>
  <r>
    <s v="Antonio"/>
    <s v="2084/2017"/>
    <x v="2"/>
    <x v="5"/>
    <s v="Dispensa"/>
    <m/>
    <s v="Pregão em execução (Filipe)_x000a_17/05 - Para consultar as certidões e finalizar pregão (Antônio)"/>
    <x v="4"/>
    <n v="9"/>
  </r>
  <r>
    <s v="Mariângela"/>
    <s v="2240/2017"/>
    <x v="13"/>
    <x v="12"/>
    <s v="Dispensa"/>
    <m/>
    <s v="Solucionar pendência junto ao requisitante para envio à ASJUR"/>
    <x v="2"/>
    <n v="4"/>
  </r>
  <r>
    <s v="Antonio"/>
    <s v="2266/2017"/>
    <x v="14"/>
    <x v="8"/>
    <s v="Pregão"/>
    <m/>
    <s v="16/05 - Para ajustes no edital (Antonio)"/>
    <x v="0"/>
    <n v="3"/>
  </r>
  <r>
    <s v="Antonio"/>
    <s v="2411/2017"/>
    <x v="15"/>
    <x v="13"/>
    <s v="Pregão"/>
    <m/>
    <s v="16/05 - Para elaboração de Despacho de nomeação da equipe de planejamento (Antonio) "/>
    <x v="6"/>
    <n v="2"/>
  </r>
  <r>
    <s v="Antonio"/>
    <s v="2473/2017"/>
    <x v="16"/>
    <x v="8"/>
    <s v="Pregão"/>
    <m/>
    <s v="Processo parado por pendência do requisitante"/>
    <x v="2"/>
    <n v="4"/>
  </r>
  <r>
    <s v="Mariângela"/>
    <s v="101/2018"/>
    <x v="17"/>
    <x v="1"/>
    <s v="Pregão"/>
    <m/>
    <m/>
    <x v="0"/>
    <n v="3"/>
  </r>
  <r>
    <s v="Mariângela"/>
    <s v="106/2018"/>
    <x v="2"/>
    <x v="14"/>
    <s v="Pregão"/>
    <m/>
    <s v="11/05 - Ao DAL para aprovação_x000a_16/05 - Para executar pregão (Mariângela)"/>
    <x v="4"/>
    <n v="9"/>
  </r>
  <r>
    <s v="Antonio"/>
    <s v="143/2018"/>
    <x v="18"/>
    <x v="15"/>
    <s v="Pregão"/>
    <m/>
    <m/>
    <x v="0"/>
    <n v="3"/>
  </r>
  <r>
    <s v="Marta"/>
    <s v="169/2018"/>
    <x v="19"/>
    <x v="16"/>
    <s v="Pregão"/>
    <m/>
    <s v="16/05 - Para atualizar planilha de custos (Thiago)_x000a_16/05 -  Para elaborar despacho de apontamento enquanto a COSERGE ajusta a planilha (Marta)_x000a_17/05 - Planilha ajustada pela COSERGE. Lançar pregão (Carol)"/>
    <x v="3"/>
    <n v="7"/>
  </r>
  <r>
    <s v="Filipe"/>
    <s v="184/2018"/>
    <x v="20"/>
    <x v="4"/>
    <s v="Pregão"/>
    <m/>
    <s v="Revisar estudos preliminares e mapa de risco_x000a_17/05 - Necessidade de alteração da equipe de planejamento (Carol)"/>
    <x v="6"/>
    <n v="2"/>
  </r>
  <r>
    <s v="Marta"/>
    <s v="248/2018"/>
    <x v="19"/>
    <x v="13"/>
    <s v="Pregão"/>
    <m/>
    <s v="Revisar planilha"/>
    <x v="0"/>
    <n v="3"/>
  </r>
  <r>
    <s v="Antonio"/>
    <s v="275/2018"/>
    <x v="21"/>
    <x v="17"/>
    <s v="Pregão"/>
    <m/>
    <s v="14/05 - Para atualizar planilha de custos (Thiago)_x000a_16/05 - Para acompanhar o processo. Após ajustes da planilha pelo requisitante, realizar revisão da Planilha e elaborar despacho de D.O (Antonio)"/>
    <x v="2"/>
    <n v="4"/>
  </r>
  <r>
    <s v="Antonio"/>
    <s v="281/2018"/>
    <x v="22"/>
    <x v="8"/>
    <s v="Pregão"/>
    <m/>
    <s v="14/05 - Elaborar Despacho de Apontamento                15/05 - Para aprovação do DAL"/>
    <x v="3"/>
    <n v="7"/>
  </r>
  <r>
    <s v="Mariângela"/>
    <s v="290/2018"/>
    <x v="23"/>
    <x v="15"/>
    <s v="Pregão"/>
    <m/>
    <s v="17/05 - Revisão de edital (Carol)"/>
    <x v="0"/>
    <n v="3"/>
  </r>
  <r>
    <s v="Mariângela"/>
    <s v="377/2018"/>
    <x v="24"/>
    <x v="15"/>
    <s v="Pregão"/>
    <s v="008/2018"/>
    <s v="17/05 - Revisão de edital (Carol)"/>
    <x v="0"/>
    <n v="3"/>
  </r>
  <r>
    <s v="Antonio"/>
    <s v="400/2018"/>
    <x v="25"/>
    <x v="17"/>
    <s v="Dispensa"/>
    <m/>
    <s v="Processo encontra-se na COENG para análise_x000a_17/05 - Para elaborar Despacho de envio à ASJUR (Evando)"/>
    <x v="2"/>
    <n v="4"/>
  </r>
  <r>
    <s v="Marta"/>
    <s v="401/2018"/>
    <x v="26"/>
    <x v="8"/>
    <s v="Pregão"/>
    <m/>
    <s v="11/05 - Para parecer_x000a_17/05 - Enviado à ASJUR"/>
    <x v="5"/>
    <n v="6"/>
  </r>
  <r>
    <s v="Antonio"/>
    <s v="429/2018"/>
    <x v="27"/>
    <x v="15"/>
    <s v="Pregão"/>
    <m/>
    <m/>
    <x v="0"/>
    <n v="3"/>
  </r>
  <r>
    <s v="Marta"/>
    <s v="503/2018"/>
    <x v="28"/>
    <x v="18"/>
    <s v="Cessão"/>
    <m/>
    <s v="Solicitar documentos ao requisitante (Filipe)_x000a_16/05 - Reencaminhado à ASJUR com a complementação de dados solicitado por cota"/>
    <x v="5"/>
    <n v="6"/>
  </r>
  <r>
    <s v="Mariângela"/>
    <s v="525/2018"/>
    <x v="5"/>
    <x v="13"/>
    <s v="Pregão"/>
    <m/>
    <s v="Processo encontra-se com a COSERGE para execução das atividades de intergante técnico_x000a_16/05/18 - Elaborar edital (Mariângela)"/>
    <x v="0"/>
    <n v="3"/>
  </r>
  <r>
    <s v="Marta"/>
    <s v="631/2018"/>
    <x v="29"/>
    <x v="1"/>
    <s v="Pregão"/>
    <m/>
    <s v="Divulgar IRP e elaborar minuta de edital"/>
    <x v="0"/>
    <n v="3"/>
  </r>
  <r>
    <s v="Antonio"/>
    <s v="632/2018"/>
    <x v="29"/>
    <x v="1"/>
    <s v="Pregão"/>
    <m/>
    <s v="Processo encontra-se com o Administrativo para elaboração de Despacho de D.O_x000a_16/05/18 - Para elaborar edital (Antonio)"/>
    <x v="0"/>
    <n v="3"/>
  </r>
  <r>
    <s v="Mariângela"/>
    <s v="641/2018"/>
    <x v="15"/>
    <x v="19"/>
    <s v="Pregão"/>
    <m/>
    <s v="11/05 - Designação da equipe de planejamento_x000a_16/05 - Para executar as atribuições de integrante administrativo (Mariângela)"/>
    <x v="0"/>
    <n v="3"/>
  </r>
  <r>
    <s v="Marta"/>
    <s v="642/2018"/>
    <x v="30"/>
    <x v="15"/>
    <s v="Pregão SRP"/>
    <m/>
    <m/>
    <x v="0"/>
    <n v="3"/>
  </r>
  <r>
    <s v="Marta"/>
    <s v="671/2018"/>
    <x v="31"/>
    <x v="15"/>
    <s v="Pregão SRP"/>
    <m/>
    <m/>
    <x v="0"/>
    <n v="3"/>
  </r>
  <r>
    <s v="Marta"/>
    <s v="672/2018"/>
    <x v="32"/>
    <x v="20"/>
    <s v="Pregão SRP"/>
    <m/>
    <s v="Análise dos documentos "/>
    <x v="0"/>
    <n v="3"/>
  </r>
  <r>
    <s v="Marta"/>
    <s v="727/2018"/>
    <x v="33"/>
    <x v="15"/>
    <s v="Pregão"/>
    <m/>
    <s v="Elaborar minuta de edital"/>
    <x v="0"/>
    <n v="3"/>
  </r>
  <r>
    <s v="Mariângela"/>
    <s v="742/2018"/>
    <x v="3"/>
    <x v="5"/>
    <s v="Pregão"/>
    <m/>
    <s v="16/05 - Designação da equipe de planejamento (Colicon)_x000a_16/05 - Solicitar à SEGO a indicação de novo integrante requisitante (Carol)_x000a_17/05 - Solicitar à SEGO a indicação de novo integrante requisitante (Evando)"/>
    <x v="6"/>
    <n v="2"/>
  </r>
  <r>
    <s v="Marta"/>
    <s v="785/2018"/>
    <x v="34"/>
    <x v="15"/>
    <s v="Pregão"/>
    <m/>
    <s v="11/05 - Ao DAL para aprovação_x000a_16/05 - Para executar pregão (Marta)"/>
    <x v="4"/>
    <n v="9"/>
  </r>
  <r>
    <s v="Marta"/>
    <s v="802/2018"/>
    <x v="35"/>
    <x v="15"/>
    <s v="Chamamento público"/>
    <m/>
    <s v="11/05 - Estudar o tipo de contratação em conjunto com a DIVAL"/>
    <x v="6"/>
    <n v="2"/>
  </r>
  <r>
    <s v="Antonio"/>
    <s v="814/2018"/>
    <x v="36"/>
    <x v="6"/>
    <s v="Pregão"/>
    <m/>
    <s v="Processo encontra-se com o Administrativo para solicitar ao requisitante o documento faltante (Documento Formalizador da Demanda)_x000a_18/05 - Para CGAD para análise (wilner)"/>
    <x v="6"/>
    <n v="2"/>
  </r>
  <r>
    <s v="Marta"/>
    <s v="832/2018"/>
    <x v="37"/>
    <x v="15"/>
    <s v="Pregão"/>
    <m/>
    <s v="Processo encontra-se com o Administrativo para solicitar ao requisitante o documento faltante (Documento Formalizador da Demanda)_x000a_18/05 - Para CGAD para análise (wilner)"/>
    <x v="6"/>
    <n v="2"/>
  </r>
  <r>
    <s v="Antonio"/>
    <s v="833/2018"/>
    <x v="38"/>
    <x v="8"/>
    <s v="Pregão"/>
    <m/>
    <s v="11/05 - Designação da equipe de planejamento_x000a_16/05 - Para executar as atribuições de integrante administrativo (Antonio)"/>
    <x v="0"/>
    <n v="3"/>
  </r>
  <r>
    <s v="Filipe"/>
    <s v="873/2018"/>
    <x v="20"/>
    <x v="21"/>
    <s v="Pregão"/>
    <m/>
    <s v="11/05 - Elaborar Termo de Ciência e Despacho de nomeação equipe de planejamento _x000a_16/05 - Para designação da equipe de planejamento (Colicon)_x000a_17/05 - Necessidade de alteração da equipe de planejamento (Carol)"/>
    <x v="6"/>
    <n v="2"/>
  </r>
  <r>
    <s v="Evando"/>
    <s v="1224/2017"/>
    <x v="39"/>
    <x v="4"/>
    <s v="Dispensa"/>
    <m/>
    <s v="Processo encontra-se com o requisitante para solução de pendência_x000a_17/05 - Retorno do processo (Carol)"/>
    <x v="6"/>
    <n v="2"/>
  </r>
  <r>
    <s v="Valter"/>
    <s v="543/2018"/>
    <x v="40"/>
    <x v="22"/>
    <s v="Dispensa PV"/>
    <m/>
    <s v="Aguardando solução de pendência do requisitante"/>
    <x v="6"/>
    <n v="2"/>
  </r>
  <r>
    <s v="Valter"/>
    <s v="671/2018"/>
    <x v="41"/>
    <x v="23"/>
    <s v="Dispensa PV"/>
    <m/>
    <s v="Aguardando solução de pendência do requisitante"/>
    <x v="6"/>
    <n v="2"/>
  </r>
  <r>
    <s v="Evando"/>
    <s v="728/2018"/>
    <x v="42"/>
    <x v="15"/>
    <s v="Cotação"/>
    <m/>
    <s v="Aguardando a emissão da Declaração Orçamentária_x000a_16/05 - Para executar cotação eletrônica (Evando)"/>
    <x v="1"/>
    <n v="10"/>
  </r>
  <r>
    <s v="Valter"/>
    <s v="845/2018"/>
    <x v="43"/>
    <x v="11"/>
    <s v="Cotação"/>
    <m/>
    <s v="11/05 - Apresentar justificativa do quantitativo           15/05 - Elaborar quadro comparativo (Valter)_x000a_17/05 - Para emissão de D.O"/>
    <x v="7"/>
    <n v="8"/>
  </r>
  <r>
    <s v="Valter"/>
    <s v="846/2018"/>
    <x v="44"/>
    <x v="21"/>
    <s v="Dispensa PV"/>
    <m/>
    <s v="Análise dos documentos"/>
    <x v="6"/>
    <n v="2"/>
  </r>
  <r>
    <s v="Evando"/>
    <s v="847/2018"/>
    <x v="39"/>
    <x v="5"/>
    <s v="Dispensa PV"/>
    <m/>
    <s v="11/05 - Para emissão de D.O_x000a_16/05 - Para cadastrar Dispensa (Evando)_x000a_17/05 - Ao DAL para aprovação e, posteriormente, envio à CGOF para emissão de empenho (Colicon)"/>
    <x v="8"/>
    <n v="11"/>
  </r>
  <r>
    <s v="Valter"/>
    <s v="855/2018"/>
    <x v="45"/>
    <x v="22"/>
    <s v="Cotação"/>
    <m/>
    <s v="Análise dos documentos"/>
    <x v="6"/>
    <n v="2"/>
  </r>
  <r>
    <s v="André"/>
    <s v="865/2017"/>
    <x v="46"/>
    <x v="11"/>
    <s v="Cessão"/>
    <m/>
    <s v="11/05 - Para parecer"/>
    <x v="5"/>
    <n v="6"/>
  </r>
  <r>
    <s v="André"/>
    <s v="1774/2017"/>
    <x v="47"/>
    <x v="24"/>
    <s v="Dispensa"/>
    <m/>
    <s v="Elaborar despacho de apontamento"/>
    <x v="3"/>
    <n v="7"/>
  </r>
  <r>
    <s v="André"/>
    <s v="1824/2017"/>
    <x v="48"/>
    <x v="11"/>
    <s v="Cessão"/>
    <m/>
    <s v="Elaborar despacho de encaminhamento para envio à ASJUR "/>
    <x v="6"/>
    <n v="2"/>
  </r>
  <r>
    <s v="André"/>
    <s v="2105/2017"/>
    <x v="49"/>
    <x v="25"/>
    <s v="Dispensa"/>
    <m/>
    <s v="11/05 - Elaborar despacho de apontamento"/>
    <x v="3"/>
    <n v="7"/>
  </r>
  <r>
    <s v="André"/>
    <s v="2122/2017"/>
    <x v="50"/>
    <x v="26"/>
    <s v="Inexigibilidade"/>
    <m/>
    <s v="11/05 - Ao DAL para aprovação_x000a_17/05 - Para cadastrar inexigibilidade (Valter)"/>
    <x v="3"/>
    <n v="7"/>
  </r>
  <r>
    <s v="Evando"/>
    <s v="904/2018"/>
    <x v="51"/>
    <x v="20"/>
    <s v="Dispensa"/>
    <m/>
    <s v="14/05 - Solicitar ao requisitante novas pesquisas de preço_x000a_17/05 - Retorno do processo (Carol)_x000a_18/05 - Para cadastrar dispensa (Evando)"/>
    <x v="1"/>
    <n v="10"/>
  </r>
  <r>
    <s v="Mariângela"/>
    <s v="513/2018"/>
    <x v="52"/>
    <x v="27"/>
    <s v="Sanção"/>
    <m/>
    <s v="16/05 - Para análise da defesa da empresa (Mariângela)"/>
    <x v="6"/>
    <n v="2"/>
  </r>
  <r>
    <s v="Mariângela"/>
    <s v="2026/2017"/>
    <x v="53"/>
    <x v="1"/>
    <s v="Dispensa"/>
    <m/>
    <s v="16/05 - Para elaborar despacho de apontamento (Mariângela)"/>
    <x v="3"/>
    <n v="7"/>
  </r>
  <r>
    <s v="Valter"/>
    <s v="926/2018"/>
    <x v="54"/>
    <x v="28"/>
    <s v="Dispensa PV"/>
    <m/>
    <s v="16/05 - Para análise dos documentos"/>
    <x v="6"/>
    <n v="2"/>
  </r>
  <r>
    <s v="Valter"/>
    <s v="884/2018"/>
    <x v="55"/>
    <x v="29"/>
    <s v="Cotação"/>
    <m/>
    <s v="16/05 - Para análise dos documentos"/>
    <x v="6"/>
    <n v="2"/>
  </r>
  <r>
    <s v="Valter"/>
    <s v="886/2018"/>
    <x v="56"/>
    <x v="30"/>
    <m/>
    <m/>
    <s v="17/05 - Para análise quanto à modalidade (Carol)"/>
    <x v="6"/>
    <n v="2"/>
  </r>
  <r>
    <m/>
    <m/>
    <x v="57"/>
    <x v="24"/>
    <s v="Dispensa"/>
    <m/>
    <s v="18/08 - Busca de imóveis na SPU"/>
    <x v="9"/>
    <n v="1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cessos por unidade e fase atual">
  <location ref="A3:A178" firstHeaderRow="1" firstDataRow="1" firstDataCol="1"/>
  <pivotFields count="9">
    <pivotField showAll="0"/>
    <pivotField showAll="0"/>
    <pivotField axis="axisRow" showAll="0">
      <items count="60">
        <item x="18"/>
        <item x="0"/>
        <item x="27"/>
        <item x="30"/>
        <item x="42"/>
        <item x="33"/>
        <item x="55"/>
        <item x="31"/>
        <item x="23"/>
        <item x="26"/>
        <item x="43"/>
        <item x="29"/>
        <item x="32"/>
        <item x="24"/>
        <item x="1"/>
        <item x="53"/>
        <item x="45"/>
        <item x="38"/>
        <item x="35"/>
        <item x="12"/>
        <item x="34"/>
        <item x="28"/>
        <item x="48"/>
        <item x="6"/>
        <item x="7"/>
        <item x="49"/>
        <item x="40"/>
        <item x="46"/>
        <item x="25"/>
        <item x="10"/>
        <item x="21"/>
        <item x="13"/>
        <item x="9"/>
        <item x="39"/>
        <item x="15"/>
        <item x="3"/>
        <item x="44"/>
        <item x="22"/>
        <item x="4"/>
        <item x="16"/>
        <item x="57"/>
        <item x="14"/>
        <item x="54"/>
        <item x="52"/>
        <item x="17"/>
        <item x="56"/>
        <item x="50"/>
        <item x="20"/>
        <item x="47"/>
        <item x="41"/>
        <item x="8"/>
        <item x="37"/>
        <item x="51"/>
        <item x="36"/>
        <item x="19"/>
        <item x="5"/>
        <item x="2"/>
        <item x="11"/>
        <item x="58"/>
        <item t="default"/>
      </items>
    </pivotField>
    <pivotField axis="axisRow" showAll="0">
      <items count="33">
        <item x="30"/>
        <item x="1"/>
        <item x="8"/>
        <item x="27"/>
        <item x="15"/>
        <item x="11"/>
        <item x="7"/>
        <item x="9"/>
        <item x="20"/>
        <item x="14"/>
        <item x="6"/>
        <item x="16"/>
        <item x="5"/>
        <item x="26"/>
        <item x="2"/>
        <item x="28"/>
        <item x="17"/>
        <item x="22"/>
        <item x="21"/>
        <item x="4"/>
        <item x="0"/>
        <item x="19"/>
        <item x="3"/>
        <item x="23"/>
        <item x="13"/>
        <item x="10"/>
        <item x="18"/>
        <item x="12"/>
        <item x="29"/>
        <item x="24"/>
        <item x="25"/>
        <item x="31"/>
        <item t="default"/>
      </items>
    </pivotField>
    <pivotField showAll="0"/>
    <pivotField showAll="0"/>
    <pivotField showAll="0"/>
    <pivotField axis="axisRow" showAll="0">
      <items count="12">
        <item x="3"/>
        <item x="2"/>
        <item x="0"/>
        <item x="5"/>
        <item x="8"/>
        <item x="7"/>
        <item x="1"/>
        <item x="6"/>
        <item x="9"/>
        <item x="4"/>
        <item x="10"/>
        <item t="default"/>
      </items>
    </pivotField>
    <pivotField showAll="0"/>
  </pivotFields>
  <rowFields count="3">
    <field x="3"/>
    <field x="2"/>
    <field x="7"/>
  </rowFields>
  <rowItems count="175">
    <i>
      <x/>
    </i>
    <i r="1">
      <x v="45"/>
    </i>
    <i r="2">
      <x v="7"/>
    </i>
    <i>
      <x v="1"/>
    </i>
    <i r="1">
      <x v="11"/>
    </i>
    <i r="2">
      <x v="2"/>
    </i>
    <i r="1">
      <x v="14"/>
    </i>
    <i r="2">
      <x v="6"/>
    </i>
    <i r="1">
      <x v="15"/>
    </i>
    <i r="2">
      <x/>
    </i>
    <i r="1">
      <x v="19"/>
    </i>
    <i r="2">
      <x v="2"/>
    </i>
    <i r="1">
      <x v="24"/>
    </i>
    <i r="2">
      <x v="1"/>
    </i>
    <i r="1">
      <x v="44"/>
    </i>
    <i r="2">
      <x v="2"/>
    </i>
    <i>
      <x v="2"/>
    </i>
    <i r="1">
      <x v="1"/>
    </i>
    <i r="2">
      <x v="6"/>
    </i>
    <i r="1">
      <x v="9"/>
    </i>
    <i r="2">
      <x v="3"/>
    </i>
    <i r="1">
      <x v="17"/>
    </i>
    <i r="2">
      <x v="2"/>
    </i>
    <i r="1">
      <x v="37"/>
    </i>
    <i r="2">
      <x/>
    </i>
    <i r="1">
      <x v="39"/>
    </i>
    <i r="2">
      <x v="1"/>
    </i>
    <i r="1">
      <x v="41"/>
    </i>
    <i r="2">
      <x v="2"/>
    </i>
    <i r="1">
      <x v="50"/>
    </i>
    <i r="2">
      <x v="9"/>
    </i>
    <i>
      <x v="3"/>
    </i>
    <i r="1">
      <x v="43"/>
    </i>
    <i r="2">
      <x v="7"/>
    </i>
    <i>
      <x v="4"/>
    </i>
    <i r="1">
      <x/>
    </i>
    <i r="2">
      <x v="2"/>
    </i>
    <i r="1">
      <x v="2"/>
    </i>
    <i r="2">
      <x v="2"/>
    </i>
    <i r="1">
      <x v="3"/>
    </i>
    <i r="2">
      <x v="2"/>
    </i>
    <i r="1">
      <x v="4"/>
    </i>
    <i r="2">
      <x v="6"/>
    </i>
    <i r="1">
      <x v="5"/>
    </i>
    <i r="2">
      <x v="2"/>
    </i>
    <i r="1">
      <x v="7"/>
    </i>
    <i r="2">
      <x v="2"/>
    </i>
    <i r="1">
      <x v="8"/>
    </i>
    <i r="2">
      <x v="2"/>
    </i>
    <i r="1">
      <x v="13"/>
    </i>
    <i r="2">
      <x v="2"/>
    </i>
    <i r="1">
      <x v="18"/>
    </i>
    <i r="2">
      <x v="7"/>
    </i>
    <i r="1">
      <x v="20"/>
    </i>
    <i r="2">
      <x v="9"/>
    </i>
    <i r="1">
      <x v="51"/>
    </i>
    <i r="2">
      <x v="7"/>
    </i>
    <i>
      <x v="5"/>
    </i>
    <i r="1">
      <x v="10"/>
    </i>
    <i r="2">
      <x v="5"/>
    </i>
    <i r="1">
      <x v="22"/>
    </i>
    <i r="2">
      <x v="7"/>
    </i>
    <i r="1">
      <x v="27"/>
    </i>
    <i r="2">
      <x v="3"/>
    </i>
    <i r="1">
      <x v="57"/>
    </i>
    <i r="2">
      <x v="9"/>
    </i>
    <i>
      <x v="6"/>
    </i>
    <i r="1">
      <x v="23"/>
    </i>
    <i r="2">
      <x v="3"/>
    </i>
    <i>
      <x v="7"/>
    </i>
    <i r="1">
      <x v="32"/>
    </i>
    <i r="2">
      <x v="7"/>
    </i>
    <i>
      <x v="8"/>
    </i>
    <i r="1">
      <x v="12"/>
    </i>
    <i r="2">
      <x v="2"/>
    </i>
    <i r="1">
      <x v="52"/>
    </i>
    <i r="2">
      <x v="6"/>
    </i>
    <i>
      <x v="9"/>
    </i>
    <i r="1">
      <x v="56"/>
    </i>
    <i r="2">
      <x v="9"/>
    </i>
    <i>
      <x v="10"/>
    </i>
    <i r="1">
      <x v="35"/>
    </i>
    <i r="2">
      <x v="1"/>
    </i>
    <i r="1">
      <x v="53"/>
    </i>
    <i r="2">
      <x v="7"/>
    </i>
    <i r="1">
      <x v="55"/>
    </i>
    <i r="2">
      <x v="2"/>
    </i>
    <i>
      <x v="11"/>
    </i>
    <i r="1">
      <x v="54"/>
    </i>
    <i r="2">
      <x/>
    </i>
    <i>
      <x v="12"/>
    </i>
    <i r="1">
      <x v="33"/>
    </i>
    <i r="2">
      <x v="4"/>
    </i>
    <i r="1">
      <x v="35"/>
    </i>
    <i r="2">
      <x v="7"/>
    </i>
    <i r="1">
      <x v="55"/>
    </i>
    <i r="2">
      <x v="3"/>
    </i>
    <i r="1">
      <x v="56"/>
    </i>
    <i r="2">
      <x v="9"/>
    </i>
    <i>
      <x v="13"/>
    </i>
    <i r="1">
      <x v="46"/>
    </i>
    <i r="2">
      <x/>
    </i>
    <i>
      <x v="14"/>
    </i>
    <i r="1">
      <x v="56"/>
    </i>
    <i r="2">
      <x v="1"/>
    </i>
    <i>
      <x v="15"/>
    </i>
    <i r="1">
      <x v="42"/>
    </i>
    <i r="2">
      <x v="7"/>
    </i>
    <i>
      <x v="16"/>
    </i>
    <i r="1">
      <x v="28"/>
    </i>
    <i r="2">
      <x v="1"/>
    </i>
    <i r="1">
      <x v="30"/>
    </i>
    <i r="2">
      <x v="1"/>
    </i>
    <i>
      <x v="17"/>
    </i>
    <i r="1">
      <x v="16"/>
    </i>
    <i r="2">
      <x v="7"/>
    </i>
    <i r="1">
      <x v="26"/>
    </i>
    <i r="2">
      <x v="7"/>
    </i>
    <i>
      <x v="18"/>
    </i>
    <i r="1">
      <x v="36"/>
    </i>
    <i r="2">
      <x v="7"/>
    </i>
    <i r="1">
      <x v="47"/>
    </i>
    <i r="2">
      <x v="7"/>
    </i>
    <i>
      <x v="19"/>
    </i>
    <i r="1">
      <x v="33"/>
    </i>
    <i r="2">
      <x v="7"/>
    </i>
    <i r="1">
      <x v="38"/>
    </i>
    <i r="2">
      <x v="9"/>
    </i>
    <i r="1">
      <x v="47"/>
    </i>
    <i r="2">
      <x v="7"/>
    </i>
    <i>
      <x v="20"/>
    </i>
    <i r="1">
      <x v="1"/>
    </i>
    <i r="2">
      <x v="2"/>
    </i>
    <i>
      <x v="21"/>
    </i>
    <i r="1">
      <x v="34"/>
    </i>
    <i r="2">
      <x v="2"/>
    </i>
    <i>
      <x v="22"/>
    </i>
    <i r="1">
      <x v="35"/>
    </i>
    <i r="2">
      <x/>
    </i>
    <i r="1">
      <x v="56"/>
    </i>
    <i r="2">
      <x v="2"/>
    </i>
    <i>
      <x v="23"/>
    </i>
    <i r="1">
      <x v="49"/>
    </i>
    <i r="2">
      <x v="7"/>
    </i>
    <i>
      <x v="24"/>
    </i>
    <i r="1">
      <x v="34"/>
    </i>
    <i r="2">
      <x v="7"/>
    </i>
    <i r="1">
      <x v="54"/>
    </i>
    <i r="2">
      <x v="2"/>
    </i>
    <i r="1">
      <x v="55"/>
    </i>
    <i r="2">
      <x v="2"/>
    </i>
    <i>
      <x v="25"/>
    </i>
    <i r="1">
      <x v="29"/>
    </i>
    <i r="2">
      <x v="3"/>
    </i>
    <i>
      <x v="26"/>
    </i>
    <i r="1">
      <x v="21"/>
    </i>
    <i r="2">
      <x v="3"/>
    </i>
    <i>
      <x v="27"/>
    </i>
    <i r="1">
      <x v="31"/>
    </i>
    <i r="2">
      <x v="1"/>
    </i>
    <i>
      <x v="28"/>
    </i>
    <i r="1">
      <x v="6"/>
    </i>
    <i r="2">
      <x v="7"/>
    </i>
    <i>
      <x v="29"/>
    </i>
    <i r="1">
      <x v="40"/>
    </i>
    <i r="2">
      <x v="8"/>
    </i>
    <i r="1">
      <x v="48"/>
    </i>
    <i r="2">
      <x/>
    </i>
    <i>
      <x v="30"/>
    </i>
    <i r="1">
      <x v="25"/>
    </i>
    <i r="2">
      <x/>
    </i>
    <i>
      <x v="31"/>
    </i>
    <i r="1">
      <x v="58"/>
    </i>
    <i r="2"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XFD5172"/>
  <sheetViews>
    <sheetView tabSelected="1" topLeftCell="D1" zoomScaleNormal="100" workbookViewId="0">
      <pane ySplit="4" topLeftCell="A198" activePane="bottomLeft" state="frozen"/>
      <selection activeCell="E17" sqref="E17"/>
      <selection pane="bottomLeft" activeCell="G198" sqref="G198"/>
    </sheetView>
  </sheetViews>
  <sheetFormatPr defaultColWidth="9.109375" defaultRowHeight="13.2"/>
  <cols>
    <col min="1" max="1" width="10.5546875" style="9" bestFit="1" customWidth="1"/>
    <col min="2" max="2" width="10.88671875" style="9" customWidth="1"/>
    <col min="3" max="3" width="30.44140625" style="9" customWidth="1"/>
    <col min="4" max="4" width="8.5546875" style="45" customWidth="1"/>
    <col min="5" max="5" width="11.33203125" style="40" customWidth="1"/>
    <col min="6" max="6" width="9.88671875" style="9" customWidth="1"/>
    <col min="7" max="7" width="100.6640625" style="40" customWidth="1"/>
    <col min="8" max="8" width="19.109375" style="9" customWidth="1"/>
    <col min="9" max="9" width="2.6640625" style="31" customWidth="1"/>
    <col min="10" max="10" width="4.6640625" style="31" bestFit="1" customWidth="1"/>
    <col min="11" max="11" width="20.33203125" style="1" customWidth="1"/>
    <col min="12" max="12" width="25.6640625" style="1" bestFit="1" customWidth="1"/>
    <col min="13" max="13" width="4.109375" style="1" bestFit="1" customWidth="1"/>
    <col min="14" max="16384" width="9.109375" style="1"/>
  </cols>
  <sheetData>
    <row r="1" spans="1:13" ht="12.75" customHeight="1">
      <c r="A1" s="108" t="s">
        <v>159</v>
      </c>
      <c r="B1" s="108"/>
      <c r="C1" s="108"/>
      <c r="D1" s="108"/>
      <c r="E1" s="108"/>
      <c r="F1" s="108"/>
      <c r="G1" s="108"/>
      <c r="H1" s="109"/>
      <c r="I1" s="56"/>
      <c r="J1" s="101"/>
    </row>
    <row r="2" spans="1:13" ht="93.75" customHeight="1">
      <c r="A2" s="46" t="str">
        <f>"Previsão de término com " &amp; Dados!I1 &amp; " analistas e " &amp; Dados!I2 &amp; " servidores do administrativo: "</f>
        <v xml:space="preserve">Previsão de término com 6 analistas e 2 servidores do administrativo: </v>
      </c>
      <c r="B2" s="47">
        <f ca="1">Dados!I11</f>
        <v>43510.333333333336</v>
      </c>
      <c r="C2" s="48"/>
      <c r="D2" s="49"/>
      <c r="E2" s="106"/>
      <c r="F2" s="107"/>
      <c r="G2" s="50" t="str">
        <f>"Filtrados: " &amp; SUBTOTAL(3,H:H)  -1&amp; CHAR(10) &amp; "Pré ASJUR: " &amp; COUNTIF(I:I,"&lt;6") &amp; CHAR(10) &amp; "Ativos: " &amp;COUNTA(H:H) - COUNTIF(I:I,"&gt;10") -1  &amp;  CHAR(10) &amp; "  Serviços MDO: " &amp; COUNTIFS(C:C,"*MDO*",I:I,"&lt;11")  &amp; CHAR(10) &amp; "  Outros serviços: " &amp; COUNTIFS(C:C,"*serviço*",I:I,"&lt;11")  - COUNTIFS(C:C,"*MDO*",I:I,"&lt;11")  &amp; CHAR(10) &amp; "  Imóveis: " &amp; COUNTIFS(C:C,"*Imóvel*",I:I,"&lt;11")  &amp; CHAR(10) &amp; "  Aquisição: " &amp; COUNTIFS(C:C,"Aquisição*",I:I,"&lt;11") &amp; CHAR(10) &amp; "  Cursos: " &amp; COUNTIFS(C:C,"Curso**",I:I,"&lt;11")</f>
        <v>Filtrados: 200
Pré ASJUR: 29
Ativos: 75
  Serviços MDO: 2
  Outros serviços: 23
  Imóveis: 5
  Aquisição: 42
  Cursos: 3</v>
      </c>
      <c r="H2" s="54" t="str">
        <f>"Pregões: " &amp; COUNTIFS(E:E,"*preg*",I:I,"&lt;11") - COUNTIF(E:E,"*SRP*") &amp; CHAR(10) &amp; "SRP: " &amp; COUNTIFS(E:E,"*SRP*",I:I,"&lt;11") &amp; CHAR(10) &amp; "Dispensa PV: " &amp; COUNTIFS(E:E,"*PV*",I:I,"&lt;11") &amp; CHAR(10) &amp; "Dispensa: " &amp; COUNTIFS(E:E,"*disp*",I:I,"&lt;11") &amp; CHAR(10) &amp; "Inexigibilidade: "  &amp; COUNTIFS(E:E,"*inex*",I:I,"&lt;11") &amp; CHAR(10)  &amp; "Cotação: "  &amp; COUNTIFS(E:E,"*cota*",I:I,"&lt;11") &amp; CHAR(10) &amp; "Ata: "  &amp; COUNTIFS(E:E,"*ata*",I:I,"&lt;11") &amp; CHAR(10)</f>
        <v xml:space="preserve">Pregões: 24
SRP: 12
Dispensa PV: 5
Dispensa: 15
Inexigibilidade: 9
Cotação: 5
Ata: 4
</v>
      </c>
      <c r="I2" s="57"/>
      <c r="J2" s="102"/>
    </row>
    <row r="3" spans="1:13" ht="19.5" customHeight="1">
      <c r="A3" s="51"/>
      <c r="B3" s="51"/>
      <c r="C3" s="51"/>
      <c r="D3" s="51"/>
      <c r="E3" s="51"/>
      <c r="F3" s="51"/>
      <c r="G3" s="51"/>
      <c r="H3" s="55"/>
      <c r="I3" s="58">
        <v>12</v>
      </c>
      <c r="J3" s="103"/>
      <c r="K3" s="94">
        <f>SUBTOTAL(9,K5:K10003)</f>
        <v>48622045.889999993</v>
      </c>
      <c r="L3" s="94">
        <f>SUBTOTAL(9,L5:L10003)</f>
        <v>926811.53</v>
      </c>
    </row>
    <row r="4" spans="1:13" s="9" customFormat="1" ht="16.5" customHeight="1">
      <c r="A4" s="32" t="s">
        <v>157</v>
      </c>
      <c r="B4" s="32" t="s">
        <v>1</v>
      </c>
      <c r="C4" s="32" t="s">
        <v>0</v>
      </c>
      <c r="D4" s="32" t="s">
        <v>84</v>
      </c>
      <c r="E4" s="33" t="s">
        <v>158</v>
      </c>
      <c r="F4" s="34" t="s">
        <v>188</v>
      </c>
      <c r="G4" s="32" t="s">
        <v>596</v>
      </c>
      <c r="H4" s="32" t="s">
        <v>155</v>
      </c>
      <c r="I4" s="59">
        <v>12</v>
      </c>
      <c r="J4" s="59" t="s">
        <v>812</v>
      </c>
      <c r="K4" s="64" t="s">
        <v>584</v>
      </c>
      <c r="L4" s="32" t="s">
        <v>597</v>
      </c>
    </row>
    <row r="5" spans="1:13" s="16" customFormat="1" ht="183.6">
      <c r="A5" s="5" t="s">
        <v>7</v>
      </c>
      <c r="B5" s="5" t="s">
        <v>61</v>
      </c>
      <c r="C5" s="6" t="s">
        <v>241</v>
      </c>
      <c r="D5" s="5" t="s">
        <v>560</v>
      </c>
      <c r="E5" s="5" t="s">
        <v>12</v>
      </c>
      <c r="F5" s="5" t="s">
        <v>717</v>
      </c>
      <c r="G5" s="68" t="s">
        <v>759</v>
      </c>
      <c r="H5" s="69" t="s">
        <v>12</v>
      </c>
      <c r="I5" s="70">
        <f>IFERROR(VLOOKUP(H5,Dados!$A$1:$B$58,2,0),"")</f>
        <v>9</v>
      </c>
      <c r="J5" s="116">
        <f>VLOOKUP(H5,Dados!$A$2:$E$53,4,0)</f>
        <v>70</v>
      </c>
      <c r="K5" s="81">
        <v>149340.85999999999</v>
      </c>
      <c r="L5" s="15"/>
    </row>
    <row r="6" spans="1:13" s="16" customFormat="1" ht="61.2">
      <c r="A6" s="7" t="s">
        <v>195</v>
      </c>
      <c r="B6" s="7" t="s">
        <v>153</v>
      </c>
      <c r="C6" s="8" t="s">
        <v>242</v>
      </c>
      <c r="D6" s="5" t="s">
        <v>3</v>
      </c>
      <c r="E6" s="5" t="s">
        <v>154</v>
      </c>
      <c r="F6" s="5"/>
      <c r="G6" s="37" t="s">
        <v>376</v>
      </c>
      <c r="H6" s="15" t="s">
        <v>172</v>
      </c>
      <c r="I6" s="66">
        <f>IFERROR(VLOOKUP(H6,Dados!$A$1:$B$58,2,0),"")</f>
        <v>15</v>
      </c>
      <c r="J6" s="116">
        <f>VLOOKUP(H6,Dados!$A$2:$E$53,4,0)</f>
        <v>100</v>
      </c>
      <c r="K6" s="82"/>
      <c r="L6" s="15"/>
    </row>
    <row r="7" spans="1:13" s="16" customFormat="1" ht="30.6">
      <c r="A7" s="5" t="s">
        <v>135</v>
      </c>
      <c r="B7" s="5" t="s">
        <v>33</v>
      </c>
      <c r="C7" s="6" t="s">
        <v>235</v>
      </c>
      <c r="D7" s="5" t="s">
        <v>108</v>
      </c>
      <c r="E7" s="5" t="s">
        <v>11</v>
      </c>
      <c r="F7" s="5"/>
      <c r="G7" s="37" t="s">
        <v>377</v>
      </c>
      <c r="H7" s="15" t="s">
        <v>173</v>
      </c>
      <c r="I7" s="66">
        <f>IFERROR(VLOOKUP(H7,Dados!$A$1:$B$58,2,0),"")</f>
        <v>16</v>
      </c>
      <c r="J7" s="116">
        <f>VLOOKUP(H7,Dados!$A$2:$E$53,4,0)</f>
        <v>0</v>
      </c>
      <c r="K7" s="82"/>
      <c r="L7" s="15"/>
    </row>
    <row r="8" spans="1:13" s="16" customFormat="1" ht="132.6">
      <c r="A8" s="25" t="s">
        <v>196</v>
      </c>
      <c r="B8" s="25" t="s">
        <v>73</v>
      </c>
      <c r="C8" s="26" t="s">
        <v>219</v>
      </c>
      <c r="D8" s="25" t="s">
        <v>57</v>
      </c>
      <c r="E8" s="25" t="s">
        <v>12</v>
      </c>
      <c r="F8" s="25" t="s">
        <v>341</v>
      </c>
      <c r="G8" s="37" t="s">
        <v>378</v>
      </c>
      <c r="H8" s="27" t="s">
        <v>172</v>
      </c>
      <c r="I8" s="65">
        <f>IFERROR(VLOOKUP(H8,Dados!$A$1:$B$58,2,0),"")</f>
        <v>15</v>
      </c>
      <c r="J8" s="116">
        <f>VLOOKUP(H8,Dados!$A$2:$E$53,4,0)</f>
        <v>100</v>
      </c>
      <c r="K8" s="82"/>
      <c r="L8" s="15"/>
    </row>
    <row r="9" spans="1:13" s="16" customFormat="1" ht="102">
      <c r="A9" s="25" t="s">
        <v>196</v>
      </c>
      <c r="B9" s="25" t="s">
        <v>86</v>
      </c>
      <c r="C9" s="26" t="s">
        <v>243</v>
      </c>
      <c r="D9" s="25" t="s">
        <v>24</v>
      </c>
      <c r="E9" s="25" t="s">
        <v>12</v>
      </c>
      <c r="F9" s="25" t="s">
        <v>340</v>
      </c>
      <c r="G9" s="38" t="s">
        <v>379</v>
      </c>
      <c r="H9" s="27" t="s">
        <v>172</v>
      </c>
      <c r="I9" s="65">
        <f>IFERROR(VLOOKUP(H9,Dados!$A$1:$B$58,2,0),"")</f>
        <v>15</v>
      </c>
      <c r="J9" s="116">
        <f>VLOOKUP(H9,Dados!$A$2:$E$53,4,0)</f>
        <v>100</v>
      </c>
      <c r="K9" s="82"/>
      <c r="L9" s="15"/>
    </row>
    <row r="10" spans="1:13" s="16" customFormat="1" ht="102">
      <c r="A10" s="25" t="s">
        <v>196</v>
      </c>
      <c r="B10" s="25" t="s">
        <v>50</v>
      </c>
      <c r="C10" s="26" t="s">
        <v>213</v>
      </c>
      <c r="D10" s="25" t="s">
        <v>51</v>
      </c>
      <c r="E10" s="25" t="s">
        <v>12</v>
      </c>
      <c r="F10" s="25" t="s">
        <v>298</v>
      </c>
      <c r="G10" s="6" t="s">
        <v>456</v>
      </c>
      <c r="H10" s="27" t="s">
        <v>172</v>
      </c>
      <c r="I10" s="65">
        <f>IFERROR(VLOOKUP(H10,Dados!$A$1:$B$58,2,0),"")</f>
        <v>15</v>
      </c>
      <c r="J10" s="116">
        <f>VLOOKUP(H10,Dados!$A$2:$E$53,4,0)</f>
        <v>100</v>
      </c>
      <c r="K10" s="82"/>
      <c r="L10" s="15"/>
    </row>
    <row r="11" spans="1:13" s="16" customFormat="1" ht="214.2">
      <c r="A11" s="5" t="s">
        <v>6</v>
      </c>
      <c r="B11" s="5" t="s">
        <v>79</v>
      </c>
      <c r="C11" s="6" t="s">
        <v>219</v>
      </c>
      <c r="D11" s="5" t="s">
        <v>15</v>
      </c>
      <c r="E11" s="5" t="s">
        <v>12</v>
      </c>
      <c r="F11" s="5"/>
      <c r="G11" s="68" t="s">
        <v>693</v>
      </c>
      <c r="H11" s="69" t="s">
        <v>167</v>
      </c>
      <c r="I11" s="70">
        <f>IFERROR(VLOOKUP(H11,Dados!$A$1:$B$58,2,0),"")</f>
        <v>6</v>
      </c>
      <c r="J11" s="116">
        <f>VLOOKUP(H11,Dados!$A$2:$E$53,4,0)</f>
        <v>40</v>
      </c>
      <c r="K11" s="81">
        <v>25944</v>
      </c>
      <c r="L11" s="15"/>
    </row>
    <row r="12" spans="1:13" s="16" customFormat="1" ht="20.399999999999999">
      <c r="A12" s="25" t="s">
        <v>120</v>
      </c>
      <c r="B12" s="25" t="s">
        <v>92</v>
      </c>
      <c r="C12" s="28" t="s">
        <v>268</v>
      </c>
      <c r="D12" s="25" t="s">
        <v>60</v>
      </c>
      <c r="E12" s="25" t="s">
        <v>94</v>
      </c>
      <c r="F12" s="25"/>
      <c r="G12" s="37" t="s">
        <v>380</v>
      </c>
      <c r="H12" s="27" t="s">
        <v>173</v>
      </c>
      <c r="I12" s="65">
        <f>IFERROR(VLOOKUP(H12,Dados!$A$1:$B$58,2,0),"")</f>
        <v>16</v>
      </c>
      <c r="J12" s="116">
        <f>VLOOKUP(H12,Dados!$A$2:$E$53,4,0)</f>
        <v>0</v>
      </c>
      <c r="K12" s="82"/>
      <c r="L12" s="15"/>
    </row>
    <row r="13" spans="1:13" s="16" customFormat="1" ht="265.2">
      <c r="A13" s="5" t="s">
        <v>6</v>
      </c>
      <c r="B13" s="5" t="s">
        <v>9</v>
      </c>
      <c r="C13" s="6" t="s">
        <v>244</v>
      </c>
      <c r="D13" s="5" t="s">
        <v>3</v>
      </c>
      <c r="E13" s="5" t="s">
        <v>11</v>
      </c>
      <c r="F13" s="5" t="s">
        <v>797</v>
      </c>
      <c r="G13" s="71" t="s">
        <v>800</v>
      </c>
      <c r="H13" s="69" t="s">
        <v>172</v>
      </c>
      <c r="I13" s="70">
        <f>IFERROR(VLOOKUP(H13,Dados!$A$1:$B$58,2,0),"")</f>
        <v>15</v>
      </c>
      <c r="J13" s="116">
        <f>VLOOKUP(H13,Dados!$A$2:$E$53,4,0)</f>
        <v>100</v>
      </c>
      <c r="K13" s="83">
        <v>132045.96</v>
      </c>
      <c r="L13" s="15"/>
    </row>
    <row r="14" spans="1:13" s="16" customFormat="1" ht="71.400000000000006">
      <c r="A14" s="5" t="s">
        <v>7</v>
      </c>
      <c r="B14" s="5" t="s">
        <v>8</v>
      </c>
      <c r="C14" s="6" t="s">
        <v>241</v>
      </c>
      <c r="D14" s="5" t="s">
        <v>4</v>
      </c>
      <c r="E14" s="5" t="s">
        <v>68</v>
      </c>
      <c r="F14" s="5" t="s">
        <v>204</v>
      </c>
      <c r="G14" s="38" t="s">
        <v>381</v>
      </c>
      <c r="H14" s="15" t="s">
        <v>172</v>
      </c>
      <c r="I14" s="66">
        <f>IFERROR(VLOOKUP(H14,Dados!$A$1:$B$58,2,0),"")</f>
        <v>15</v>
      </c>
      <c r="J14" s="116">
        <f>VLOOKUP(H14,Dados!$A$2:$E$53,4,0)</f>
        <v>100</v>
      </c>
      <c r="K14" s="82"/>
      <c r="L14" s="15"/>
    </row>
    <row r="15" spans="1:13" s="16" customFormat="1" ht="30.6">
      <c r="A15" s="5" t="s">
        <v>6</v>
      </c>
      <c r="B15" s="5" t="s">
        <v>25</v>
      </c>
      <c r="C15" s="6" t="s">
        <v>245</v>
      </c>
      <c r="D15" s="5" t="s">
        <v>4</v>
      </c>
      <c r="E15" s="5" t="s">
        <v>12</v>
      </c>
      <c r="F15" s="5" t="s">
        <v>269</v>
      </c>
      <c r="G15" s="37" t="s">
        <v>382</v>
      </c>
      <c r="H15" s="15" t="s">
        <v>172</v>
      </c>
      <c r="I15" s="66">
        <f>IFERROR(VLOOKUP(H15,Dados!$A$1:$B$58,2,0),"")</f>
        <v>15</v>
      </c>
      <c r="J15" s="116">
        <f>VLOOKUP(H15,Dados!$A$2:$E$53,4,0)</f>
        <v>100</v>
      </c>
      <c r="K15" s="82"/>
      <c r="L15" s="15"/>
      <c r="M15" s="23"/>
    </row>
    <row r="16" spans="1:13" s="16" customFormat="1" ht="224.4">
      <c r="A16" s="5" t="s">
        <v>7</v>
      </c>
      <c r="B16" s="5" t="s">
        <v>13</v>
      </c>
      <c r="C16" s="6" t="s">
        <v>213</v>
      </c>
      <c r="D16" s="5" t="s">
        <v>15</v>
      </c>
      <c r="E16" s="5" t="s">
        <v>12</v>
      </c>
      <c r="F16" s="5" t="s">
        <v>312</v>
      </c>
      <c r="G16" s="72" t="s">
        <v>716</v>
      </c>
      <c r="H16" s="69" t="s">
        <v>173</v>
      </c>
      <c r="I16" s="70">
        <f>IFERROR(VLOOKUP(H16,Dados!$A$1:$B$58,2,0),"")</f>
        <v>16</v>
      </c>
      <c r="J16" s="116">
        <f>VLOOKUP(H16,Dados!$A$2:$E$53,4,0)</f>
        <v>0</v>
      </c>
      <c r="K16" s="84">
        <v>1644</v>
      </c>
      <c r="L16" s="15"/>
      <c r="M16" s="23"/>
    </row>
    <row r="17" spans="1:12" s="16" customFormat="1" ht="193.8">
      <c r="A17" s="5" t="s">
        <v>701</v>
      </c>
      <c r="B17" s="5" t="s">
        <v>95</v>
      </c>
      <c r="C17" s="6" t="s">
        <v>246</v>
      </c>
      <c r="D17" s="5" t="s">
        <v>97</v>
      </c>
      <c r="E17" s="5" t="s">
        <v>12</v>
      </c>
      <c r="F17" s="5"/>
      <c r="G17" s="68" t="s">
        <v>806</v>
      </c>
      <c r="H17" s="69" t="s">
        <v>165</v>
      </c>
      <c r="I17" s="70">
        <f>IFERROR(VLOOKUP(H17,Dados!$A$1:$B$58,2,0),"")</f>
        <v>4</v>
      </c>
      <c r="J17" s="116">
        <f>VLOOKUP(H17,Dados!$A$2:$E$53,4,0)</f>
        <v>20</v>
      </c>
      <c r="K17" s="85">
        <v>741059</v>
      </c>
      <c r="L17" s="15"/>
    </row>
    <row r="18" spans="1:12" s="16" customFormat="1" ht="142.80000000000001">
      <c r="A18" s="25" t="s">
        <v>196</v>
      </c>
      <c r="B18" s="25" t="s">
        <v>43</v>
      </c>
      <c r="C18" s="26" t="s">
        <v>247</v>
      </c>
      <c r="D18" s="25" t="s">
        <v>47</v>
      </c>
      <c r="E18" s="25" t="s">
        <v>12</v>
      </c>
      <c r="F18" s="25" t="s">
        <v>283</v>
      </c>
      <c r="G18" s="37" t="s">
        <v>383</v>
      </c>
      <c r="H18" s="27" t="s">
        <v>172</v>
      </c>
      <c r="I18" s="65">
        <f>IFERROR(VLOOKUP(H18,Dados!$A$1:$B$58,2,0),"")</f>
        <v>15</v>
      </c>
      <c r="J18" s="116">
        <f>VLOOKUP(H18,Dados!$A$2:$E$53,4,0)</f>
        <v>100</v>
      </c>
      <c r="K18" s="82"/>
      <c r="L18" s="15"/>
    </row>
    <row r="19" spans="1:12" s="16" customFormat="1" ht="234.6">
      <c r="A19" s="5" t="s">
        <v>6</v>
      </c>
      <c r="B19" s="5" t="s">
        <v>28</v>
      </c>
      <c r="C19" s="6" t="s">
        <v>236</v>
      </c>
      <c r="D19" s="5" t="s">
        <v>100</v>
      </c>
      <c r="E19" s="5" t="s">
        <v>12</v>
      </c>
      <c r="F19" s="60" t="s">
        <v>733</v>
      </c>
      <c r="G19" s="72" t="s">
        <v>763</v>
      </c>
      <c r="H19" s="69" t="s">
        <v>12</v>
      </c>
      <c r="I19" s="70">
        <f>IFERROR(VLOOKUP(H19,Dados!$A$1:$B$58,2,0),"")</f>
        <v>9</v>
      </c>
      <c r="J19" s="116">
        <f>VLOOKUP(H19,Dados!$A$2:$E$53,4,0)</f>
        <v>70</v>
      </c>
      <c r="K19" s="81">
        <v>5945482.8399999999</v>
      </c>
      <c r="L19" s="15"/>
    </row>
    <row r="20" spans="1:12" s="16" customFormat="1" ht="244.8">
      <c r="A20" s="5" t="s">
        <v>196</v>
      </c>
      <c r="B20" s="5" t="s">
        <v>62</v>
      </c>
      <c r="C20" s="6" t="s">
        <v>369</v>
      </c>
      <c r="D20" s="5" t="s">
        <v>3</v>
      </c>
      <c r="E20" s="5" t="s">
        <v>68</v>
      </c>
      <c r="F20" s="5" t="s">
        <v>344</v>
      </c>
      <c r="G20" s="68" t="s">
        <v>754</v>
      </c>
      <c r="H20" s="69" t="s">
        <v>542</v>
      </c>
      <c r="I20" s="70">
        <f>IFERROR(VLOOKUP(H20,Dados!$A$1:$B$58,2,0),"")</f>
        <v>9</v>
      </c>
      <c r="J20" s="116">
        <f>VLOOKUP(H20,Dados!$A$2:$E$53,4,0)</f>
        <v>70</v>
      </c>
      <c r="K20" s="84">
        <v>589103.62</v>
      </c>
      <c r="L20" s="15"/>
    </row>
    <row r="21" spans="1:12" s="16" customFormat="1" ht="112.2">
      <c r="A21" s="25" t="s">
        <v>6</v>
      </c>
      <c r="B21" s="25" t="s">
        <v>85</v>
      </c>
      <c r="C21" s="26" t="s">
        <v>235</v>
      </c>
      <c r="D21" s="25" t="s">
        <v>57</v>
      </c>
      <c r="E21" s="25" t="s">
        <v>12</v>
      </c>
      <c r="F21" s="25" t="s">
        <v>282</v>
      </c>
      <c r="G21" s="37" t="s">
        <v>384</v>
      </c>
      <c r="H21" s="27" t="s">
        <v>172</v>
      </c>
      <c r="I21" s="65">
        <f>IFERROR(VLOOKUP(H21,Dados!$A$1:$B$58,2,0),"")</f>
        <v>15</v>
      </c>
      <c r="J21" s="116">
        <f>VLOOKUP(H21,Dados!$A$2:$E$53,4,0)</f>
        <v>100</v>
      </c>
      <c r="K21" s="82"/>
      <c r="L21" s="15"/>
    </row>
    <row r="22" spans="1:12" s="16" customFormat="1" ht="51">
      <c r="A22" s="5" t="s">
        <v>7</v>
      </c>
      <c r="B22" s="5" t="s">
        <v>98</v>
      </c>
      <c r="C22" s="6" t="s">
        <v>235</v>
      </c>
      <c r="D22" s="5" t="s">
        <v>51</v>
      </c>
      <c r="E22" s="5" t="s">
        <v>12</v>
      </c>
      <c r="F22" s="5" t="s">
        <v>205</v>
      </c>
      <c r="G22" s="38" t="s">
        <v>385</v>
      </c>
      <c r="H22" s="15" t="s">
        <v>172</v>
      </c>
      <c r="I22" s="66">
        <f>IFERROR(VLOOKUP(H22,Dados!$A$1:$B$58,2,0),"")</f>
        <v>15</v>
      </c>
      <c r="J22" s="116">
        <f>VLOOKUP(H22,Dados!$A$2:$E$53,4,0)</f>
        <v>100</v>
      </c>
      <c r="K22" s="82"/>
      <c r="L22" s="15"/>
    </row>
    <row r="23" spans="1:12" s="16" customFormat="1" ht="153">
      <c r="A23" s="25" t="s">
        <v>6</v>
      </c>
      <c r="B23" s="25" t="s">
        <v>42</v>
      </c>
      <c r="C23" s="26" t="s">
        <v>251</v>
      </c>
      <c r="D23" s="25" t="s">
        <v>52</v>
      </c>
      <c r="E23" s="25" t="s">
        <v>11</v>
      </c>
      <c r="F23" s="25"/>
      <c r="G23" s="37" t="s">
        <v>422</v>
      </c>
      <c r="H23" s="27" t="s">
        <v>172</v>
      </c>
      <c r="I23" s="65">
        <f>IFERROR(VLOOKUP(H23,Dados!$A$1:$B$58,2,0),"")</f>
        <v>15</v>
      </c>
      <c r="J23" s="116">
        <f>VLOOKUP(H23,Dados!$A$2:$E$53,4,0)</f>
        <v>100</v>
      </c>
      <c r="K23" s="82"/>
      <c r="L23" s="15"/>
    </row>
    <row r="24" spans="1:12" s="16" customFormat="1" ht="142.80000000000001">
      <c r="A24" s="25" t="s">
        <v>464</v>
      </c>
      <c r="B24" s="25" t="s">
        <v>38</v>
      </c>
      <c r="C24" s="26" t="s">
        <v>248</v>
      </c>
      <c r="D24" s="25" t="s">
        <v>4</v>
      </c>
      <c r="E24" s="25" t="s">
        <v>12</v>
      </c>
      <c r="F24" s="25" t="s">
        <v>352</v>
      </c>
      <c r="G24" s="37" t="s">
        <v>538</v>
      </c>
      <c r="H24" s="27" t="s">
        <v>172</v>
      </c>
      <c r="I24" s="65">
        <f>IFERROR(VLOOKUP(H24,Dados!$A$1:$B$58,2,0),"")</f>
        <v>15</v>
      </c>
      <c r="J24" s="116">
        <f>VLOOKUP(H24,Dados!$A$2:$E$53,4,0)</f>
        <v>100</v>
      </c>
      <c r="K24" s="82"/>
      <c r="L24" s="15"/>
    </row>
    <row r="25" spans="1:12" s="16" customFormat="1" ht="112.2">
      <c r="A25" s="5" t="s">
        <v>7</v>
      </c>
      <c r="B25" s="5" t="s">
        <v>31</v>
      </c>
      <c r="C25" s="6" t="s">
        <v>215</v>
      </c>
      <c r="D25" s="5" t="s">
        <v>23</v>
      </c>
      <c r="E25" s="5" t="s">
        <v>12</v>
      </c>
      <c r="F25" s="5"/>
      <c r="G25" s="68" t="s">
        <v>685</v>
      </c>
      <c r="H25" s="69" t="s">
        <v>165</v>
      </c>
      <c r="I25" s="70">
        <f>IFERROR(VLOOKUP(H25,Dados!$A$1:$B$58,2,0),"")</f>
        <v>4</v>
      </c>
      <c r="J25" s="116">
        <f>VLOOKUP(H25,Dados!$A$2:$E$53,4,0)</f>
        <v>20</v>
      </c>
      <c r="K25" s="81">
        <v>8573.33</v>
      </c>
      <c r="L25" s="15"/>
    </row>
    <row r="26" spans="1:12" s="16" customFormat="1" ht="30.6">
      <c r="A26" s="25" t="s">
        <v>7</v>
      </c>
      <c r="B26" s="25" t="s">
        <v>39</v>
      </c>
      <c r="C26" s="26" t="s">
        <v>257</v>
      </c>
      <c r="D26" s="25" t="s">
        <v>4</v>
      </c>
      <c r="E26" s="25" t="s">
        <v>12</v>
      </c>
      <c r="F26" s="25"/>
      <c r="G26" s="37" t="s">
        <v>573</v>
      </c>
      <c r="H26" s="27" t="s">
        <v>173</v>
      </c>
      <c r="I26" s="65">
        <f>IFERROR(VLOOKUP(H26,Dados!$A$1:$B$58,2,0),"")</f>
        <v>16</v>
      </c>
      <c r="J26" s="116">
        <f>VLOOKUP(H26,Dados!$A$2:$E$53,4,0)</f>
        <v>0</v>
      </c>
      <c r="K26" s="82"/>
      <c r="L26" s="15"/>
    </row>
    <row r="27" spans="1:12" s="16" customFormat="1" ht="244.8">
      <c r="A27" s="5" t="s">
        <v>196</v>
      </c>
      <c r="B27" s="5" t="s">
        <v>29</v>
      </c>
      <c r="C27" s="6" t="s">
        <v>326</v>
      </c>
      <c r="D27" s="5" t="s">
        <v>3</v>
      </c>
      <c r="E27" s="5" t="s">
        <v>12</v>
      </c>
      <c r="F27" s="5" t="s">
        <v>570</v>
      </c>
      <c r="G27" s="68" t="s">
        <v>755</v>
      </c>
      <c r="H27" s="69" t="s">
        <v>172</v>
      </c>
      <c r="I27" s="70">
        <f>IFERROR(VLOOKUP(H27,Dados!$A$1:$B$58,2,0),"")</f>
        <v>15</v>
      </c>
      <c r="J27" s="116">
        <f>VLOOKUP(H27,Dados!$A$2:$E$53,4,0)</f>
        <v>100</v>
      </c>
      <c r="K27" s="84">
        <v>18500</v>
      </c>
      <c r="L27" s="15"/>
    </row>
    <row r="28" spans="1:12" s="16" customFormat="1" ht="61.2">
      <c r="A28" s="5" t="s">
        <v>6</v>
      </c>
      <c r="B28" s="5" t="s">
        <v>17</v>
      </c>
      <c r="C28" s="6" t="s">
        <v>237</v>
      </c>
      <c r="D28" s="5" t="s">
        <v>5</v>
      </c>
      <c r="E28" s="5" t="s">
        <v>12</v>
      </c>
      <c r="F28" s="5" t="s">
        <v>281</v>
      </c>
      <c r="G28" s="37" t="s">
        <v>386</v>
      </c>
      <c r="H28" s="15" t="s">
        <v>172</v>
      </c>
      <c r="I28" s="66">
        <f>IFERROR(VLOOKUP(H28,Dados!$A$1:$B$58,2,0),"")</f>
        <v>15</v>
      </c>
      <c r="J28" s="116">
        <f>VLOOKUP(H28,Dados!$A$2:$E$53,4,0)</f>
        <v>100</v>
      </c>
      <c r="K28" s="82"/>
      <c r="L28" s="15"/>
    </row>
    <row r="29" spans="1:12" s="16" customFormat="1" ht="153">
      <c r="A29" s="5" t="s">
        <v>464</v>
      </c>
      <c r="B29" s="5" t="s">
        <v>40</v>
      </c>
      <c r="C29" s="6" t="s">
        <v>249</v>
      </c>
      <c r="D29" s="5" t="s">
        <v>35</v>
      </c>
      <c r="E29" s="5" t="s">
        <v>68</v>
      </c>
      <c r="F29" s="5" t="s">
        <v>359</v>
      </c>
      <c r="G29" s="68" t="s">
        <v>748</v>
      </c>
      <c r="H29" s="69" t="s">
        <v>172</v>
      </c>
      <c r="I29" s="70">
        <f>IFERROR(VLOOKUP(H29,Dados!$A$1:$B$58,2,0),"")</f>
        <v>15</v>
      </c>
      <c r="J29" s="116">
        <f>VLOOKUP(H29,Dados!$A$2:$E$53,4,0)</f>
        <v>100</v>
      </c>
      <c r="K29" s="84">
        <f>83600+13520.84+7373+11000+11000+113000</f>
        <v>239493.84</v>
      </c>
      <c r="L29" s="15"/>
    </row>
    <row r="30" spans="1:12" s="16" customFormat="1" ht="102">
      <c r="A30" s="25" t="s">
        <v>64</v>
      </c>
      <c r="B30" s="25" t="s">
        <v>81</v>
      </c>
      <c r="C30" s="26" t="s">
        <v>239</v>
      </c>
      <c r="D30" s="25" t="s">
        <v>83</v>
      </c>
      <c r="E30" s="25" t="s">
        <v>12</v>
      </c>
      <c r="F30" s="25" t="s">
        <v>284</v>
      </c>
      <c r="G30" s="37" t="s">
        <v>387</v>
      </c>
      <c r="H30" s="27" t="s">
        <v>172</v>
      </c>
      <c r="I30" s="65">
        <f>IFERROR(VLOOKUP(H30,Dados!$A$1:$B$58,2,0),"")</f>
        <v>15</v>
      </c>
      <c r="J30" s="116">
        <f>VLOOKUP(H30,Dados!$A$2:$E$53,4,0)</f>
        <v>100</v>
      </c>
      <c r="K30" s="82"/>
      <c r="L30" s="15"/>
    </row>
    <row r="31" spans="1:12" s="16" customFormat="1" ht="285.60000000000002">
      <c r="A31" s="5" t="s">
        <v>7</v>
      </c>
      <c r="B31" s="5" t="s">
        <v>80</v>
      </c>
      <c r="C31" s="6" t="s">
        <v>56</v>
      </c>
      <c r="D31" s="5" t="s">
        <v>24</v>
      </c>
      <c r="E31" s="5" t="s">
        <v>12</v>
      </c>
      <c r="F31" s="5" t="s">
        <v>586</v>
      </c>
      <c r="G31" s="73" t="s">
        <v>738</v>
      </c>
      <c r="H31" s="69" t="s">
        <v>172</v>
      </c>
      <c r="I31" s="70">
        <f>IFERROR(VLOOKUP(H31,Dados!$A$1:$B$58,2,0),"")</f>
        <v>15</v>
      </c>
      <c r="J31" s="116">
        <f>VLOOKUP(H31,Dados!$A$2:$E$53,4,0)</f>
        <v>100</v>
      </c>
      <c r="K31" s="84">
        <v>2775.89</v>
      </c>
      <c r="L31" s="15"/>
    </row>
    <row r="32" spans="1:12" s="16" customFormat="1" ht="163.19999999999999">
      <c r="A32" s="25" t="s">
        <v>7</v>
      </c>
      <c r="B32" s="25" t="s">
        <v>21</v>
      </c>
      <c r="C32" s="26" t="s">
        <v>238</v>
      </c>
      <c r="D32" s="25" t="s">
        <v>23</v>
      </c>
      <c r="E32" s="25" t="s">
        <v>12</v>
      </c>
      <c r="F32" s="25" t="s">
        <v>353</v>
      </c>
      <c r="G32" s="37" t="s">
        <v>459</v>
      </c>
      <c r="H32" s="27" t="s">
        <v>172</v>
      </c>
      <c r="I32" s="65">
        <f>IFERROR(VLOOKUP(H32,Dados!$A$1:$B$58,2,0),"")</f>
        <v>15</v>
      </c>
      <c r="J32" s="116">
        <f>VLOOKUP(H32,Dados!$A$2:$E$53,4,0)</f>
        <v>100</v>
      </c>
      <c r="K32" s="82"/>
      <c r="L32" s="15"/>
    </row>
    <row r="33" spans="1:12" s="16" customFormat="1" ht="102">
      <c r="A33" s="25" t="s">
        <v>7</v>
      </c>
      <c r="B33" s="25" t="s">
        <v>19</v>
      </c>
      <c r="C33" s="26" t="s">
        <v>250</v>
      </c>
      <c r="D33" s="25" t="s">
        <v>20</v>
      </c>
      <c r="E33" s="25" t="s">
        <v>12</v>
      </c>
      <c r="F33" s="25" t="s">
        <v>280</v>
      </c>
      <c r="G33" s="37" t="s">
        <v>416</v>
      </c>
      <c r="H33" s="27" t="s">
        <v>172</v>
      </c>
      <c r="I33" s="65">
        <f>IFERROR(VLOOKUP(H33,Dados!$A$1:$B$58,2,0),"")</f>
        <v>15</v>
      </c>
      <c r="J33" s="116">
        <f>VLOOKUP(H33,Dados!$A$2:$E$53,4,0)</f>
        <v>100</v>
      </c>
      <c r="K33" s="82"/>
      <c r="L33" s="15"/>
    </row>
    <row r="34" spans="1:12" s="16" customFormat="1" ht="142.80000000000001">
      <c r="A34" s="25" t="s">
        <v>464</v>
      </c>
      <c r="B34" s="25" t="s">
        <v>37</v>
      </c>
      <c r="C34" s="26" t="s">
        <v>207</v>
      </c>
      <c r="D34" s="25" t="s">
        <v>4</v>
      </c>
      <c r="E34" s="25" t="s">
        <v>12</v>
      </c>
      <c r="F34" s="29" t="s">
        <v>328</v>
      </c>
      <c r="G34" s="37" t="s">
        <v>506</v>
      </c>
      <c r="H34" s="27" t="s">
        <v>172</v>
      </c>
      <c r="I34" s="65">
        <f>IFERROR(VLOOKUP(H34,Dados!$A$1:$B$58,2,0),"")</f>
        <v>15</v>
      </c>
      <c r="J34" s="116">
        <f>VLOOKUP(H34,Dados!$A$2:$E$53,4,0)</f>
        <v>100</v>
      </c>
      <c r="K34" s="82"/>
      <c r="L34" s="15"/>
    </row>
    <row r="35" spans="1:12" s="16" customFormat="1" ht="142.80000000000001">
      <c r="A35" s="5" t="s">
        <v>196</v>
      </c>
      <c r="B35" s="5" t="s">
        <v>41</v>
      </c>
      <c r="C35" s="6" t="s">
        <v>208</v>
      </c>
      <c r="D35" s="5" t="s">
        <v>35</v>
      </c>
      <c r="E35" s="5" t="s">
        <v>12</v>
      </c>
      <c r="F35" s="5" t="s">
        <v>324</v>
      </c>
      <c r="G35" s="6" t="s">
        <v>590</v>
      </c>
      <c r="H35" s="27" t="s">
        <v>172</v>
      </c>
      <c r="I35" s="65">
        <f>IFERROR(VLOOKUP(H35,Dados!$A$1:$B$58,2,0),"")</f>
        <v>15</v>
      </c>
      <c r="J35" s="116">
        <f>VLOOKUP(H35,Dados!$A$2:$E$53,4,0)</f>
        <v>100</v>
      </c>
      <c r="K35" s="86">
        <v>525017.04</v>
      </c>
      <c r="L35" s="15"/>
    </row>
    <row r="36" spans="1:12" s="16" customFormat="1" ht="132.6">
      <c r="A36" s="25" t="s">
        <v>196</v>
      </c>
      <c r="B36" s="25" t="s">
        <v>102</v>
      </c>
      <c r="C36" s="26" t="s">
        <v>209</v>
      </c>
      <c r="D36" s="25" t="s">
        <v>35</v>
      </c>
      <c r="E36" s="25" t="s">
        <v>68</v>
      </c>
      <c r="F36" s="29" t="s">
        <v>189</v>
      </c>
      <c r="G36" s="6" t="s">
        <v>443</v>
      </c>
      <c r="H36" s="27" t="s">
        <v>172</v>
      </c>
      <c r="I36" s="65">
        <f>IFERROR(VLOOKUP(H36,Dados!$A$1:$B$58,2,0),"")</f>
        <v>15</v>
      </c>
      <c r="J36" s="116">
        <f>VLOOKUP(H36,Dados!$A$2:$E$53,4,0)</f>
        <v>100</v>
      </c>
      <c r="K36" s="82"/>
      <c r="L36" s="15"/>
    </row>
    <row r="37" spans="1:12" s="16" customFormat="1" ht="193.8">
      <c r="A37" s="25" t="s">
        <v>120</v>
      </c>
      <c r="B37" s="25" t="s">
        <v>101</v>
      </c>
      <c r="C37" s="26" t="s">
        <v>210</v>
      </c>
      <c r="D37" s="25" t="s">
        <v>20</v>
      </c>
      <c r="E37" s="25" t="s">
        <v>11</v>
      </c>
      <c r="F37" s="25" t="s">
        <v>344</v>
      </c>
      <c r="G37" s="37" t="s">
        <v>388</v>
      </c>
      <c r="H37" s="27" t="s">
        <v>172</v>
      </c>
      <c r="I37" s="65">
        <f>IFERROR(VLOOKUP(H37,Dados!$A$1:$B$58,2,0),"")</f>
        <v>15</v>
      </c>
      <c r="J37" s="116">
        <f>VLOOKUP(H37,Dados!$A$2:$E$53,4,0)</f>
        <v>100</v>
      </c>
      <c r="K37" s="82"/>
      <c r="L37" s="15"/>
    </row>
    <row r="38" spans="1:12" s="16" customFormat="1" ht="112.2">
      <c r="A38" s="25" t="s">
        <v>196</v>
      </c>
      <c r="B38" s="25" t="s">
        <v>36</v>
      </c>
      <c r="C38" s="26" t="s">
        <v>211</v>
      </c>
      <c r="D38" s="25" t="s">
        <v>4</v>
      </c>
      <c r="E38" s="25" t="s">
        <v>12</v>
      </c>
      <c r="F38" s="25" t="s">
        <v>343</v>
      </c>
      <c r="G38" s="6" t="s">
        <v>457</v>
      </c>
      <c r="H38" s="27" t="s">
        <v>172</v>
      </c>
      <c r="I38" s="65">
        <f>IFERROR(VLOOKUP(H38,Dados!$A$1:$B$58,2,0),"")</f>
        <v>15</v>
      </c>
      <c r="J38" s="116">
        <f>VLOOKUP(H38,Dados!$A$2:$E$53,4,0)</f>
        <v>100</v>
      </c>
      <c r="K38" s="82"/>
      <c r="L38" s="15"/>
    </row>
    <row r="39" spans="1:12" s="16" customFormat="1" ht="224.4">
      <c r="A39" s="5" t="s">
        <v>196</v>
      </c>
      <c r="B39" s="5" t="s">
        <v>48</v>
      </c>
      <c r="C39" s="6" t="s">
        <v>212</v>
      </c>
      <c r="D39" s="5" t="s">
        <v>35</v>
      </c>
      <c r="E39" s="5" t="s">
        <v>68</v>
      </c>
      <c r="F39" s="5" t="s">
        <v>469</v>
      </c>
      <c r="G39" s="68" t="s">
        <v>695</v>
      </c>
      <c r="H39" s="69" t="s">
        <v>542</v>
      </c>
      <c r="I39" s="70">
        <f>IFERROR(VLOOKUP(H39,Dados!$A$1:$B$58,2,0),"")</f>
        <v>9</v>
      </c>
      <c r="J39" s="116">
        <f>VLOOKUP(H39,Dados!$A$2:$E$53,4,0)</f>
        <v>70</v>
      </c>
      <c r="K39" s="84">
        <v>4297785.55</v>
      </c>
      <c r="L39" s="15"/>
    </row>
    <row r="40" spans="1:12" s="16" customFormat="1" ht="193.8">
      <c r="A40" s="25" t="s">
        <v>6</v>
      </c>
      <c r="B40" s="25" t="s">
        <v>88</v>
      </c>
      <c r="C40" s="26" t="s">
        <v>253</v>
      </c>
      <c r="D40" s="25" t="s">
        <v>90</v>
      </c>
      <c r="E40" s="25" t="s">
        <v>91</v>
      </c>
      <c r="F40" s="25"/>
      <c r="G40" s="38" t="s">
        <v>389</v>
      </c>
      <c r="H40" s="27" t="s">
        <v>172</v>
      </c>
      <c r="I40" s="65">
        <f>IFERROR(VLOOKUP(H40,Dados!$A$1:$B$58,2,0),"")</f>
        <v>15</v>
      </c>
      <c r="J40" s="116">
        <f>VLOOKUP(H40,Dados!$A$2:$E$53,4,0)</f>
        <v>100</v>
      </c>
      <c r="K40" s="82"/>
      <c r="L40" s="15"/>
    </row>
    <row r="41" spans="1:12" s="16" customFormat="1" ht="163.19999999999999">
      <c r="A41" s="25" t="s">
        <v>6</v>
      </c>
      <c r="B41" s="25" t="s">
        <v>55</v>
      </c>
      <c r="C41" s="26" t="s">
        <v>213</v>
      </c>
      <c r="D41" s="25" t="s">
        <v>23</v>
      </c>
      <c r="E41" s="25" t="s">
        <v>12</v>
      </c>
      <c r="F41" s="25" t="s">
        <v>285</v>
      </c>
      <c r="G41" s="38" t="s">
        <v>490</v>
      </c>
      <c r="H41" s="27" t="s">
        <v>172</v>
      </c>
      <c r="I41" s="65">
        <f>IFERROR(VLOOKUP(H41,Dados!$A$1:$B$58,2,0),"")</f>
        <v>15</v>
      </c>
      <c r="J41" s="116">
        <f>VLOOKUP(H41,Dados!$A$2:$E$53,4,0)</f>
        <v>100</v>
      </c>
      <c r="K41" s="82"/>
      <c r="L41" s="15"/>
    </row>
    <row r="42" spans="1:12" s="16" customFormat="1" ht="193.8">
      <c r="A42" s="5" t="s">
        <v>196</v>
      </c>
      <c r="B42" s="5" t="s">
        <v>58</v>
      </c>
      <c r="C42" s="6" t="s">
        <v>214</v>
      </c>
      <c r="D42" s="5" t="s">
        <v>3</v>
      </c>
      <c r="E42" s="5" t="s">
        <v>68</v>
      </c>
      <c r="F42" s="5" t="s">
        <v>510</v>
      </c>
      <c r="G42" s="68" t="s">
        <v>756</v>
      </c>
      <c r="H42" s="69" t="s">
        <v>542</v>
      </c>
      <c r="I42" s="70">
        <f>IFERROR(VLOOKUP(H42,Dados!$A$1:$B$58,2,0),"")</f>
        <v>9</v>
      </c>
      <c r="J42" s="116">
        <f>VLOOKUP(H42,Dados!$A$2:$E$53,4,0)</f>
        <v>70</v>
      </c>
      <c r="K42" s="84">
        <v>87175.14</v>
      </c>
      <c r="L42" s="15"/>
    </row>
    <row r="43" spans="1:12" s="16" customFormat="1" ht="132.6">
      <c r="A43" s="5" t="s">
        <v>464</v>
      </c>
      <c r="B43" s="5" t="s">
        <v>151</v>
      </c>
      <c r="C43" s="6" t="s">
        <v>214</v>
      </c>
      <c r="D43" s="5" t="s">
        <v>3</v>
      </c>
      <c r="E43" s="5" t="s">
        <v>12</v>
      </c>
      <c r="F43" s="5" t="s">
        <v>450</v>
      </c>
      <c r="G43" s="73" t="s">
        <v>608</v>
      </c>
      <c r="H43" s="69" t="s">
        <v>172</v>
      </c>
      <c r="I43" s="70">
        <f>IFERROR(VLOOKUP(H43,Dados!$A$1:$B$58,2,0),"")</f>
        <v>15</v>
      </c>
      <c r="J43" s="116">
        <f>VLOOKUP(H43,Dados!$A$2:$E$53,4,0)</f>
        <v>100</v>
      </c>
      <c r="K43" s="81">
        <v>19747</v>
      </c>
      <c r="L43" s="95">
        <v>18068.68</v>
      </c>
    </row>
    <row r="44" spans="1:12" s="16" customFormat="1" ht="316.2">
      <c r="A44" s="5" t="s">
        <v>196</v>
      </c>
      <c r="B44" s="5" t="s">
        <v>104</v>
      </c>
      <c r="C44" s="6" t="s">
        <v>215</v>
      </c>
      <c r="D44" s="5" t="s">
        <v>105</v>
      </c>
      <c r="E44" s="5" t="s">
        <v>12</v>
      </c>
      <c r="F44" s="5" t="s">
        <v>572</v>
      </c>
      <c r="G44" s="68" t="s">
        <v>776</v>
      </c>
      <c r="H44" s="69" t="s">
        <v>542</v>
      </c>
      <c r="I44" s="70">
        <f>IFERROR(VLOOKUP(H44,Dados!$A$1:$B$58,2,0),"")</f>
        <v>9</v>
      </c>
      <c r="J44" s="116">
        <f>VLOOKUP(H44,Dados!$A$2:$E$53,4,0)</f>
        <v>70</v>
      </c>
      <c r="K44" s="84">
        <f>15600/12</f>
        <v>1300</v>
      </c>
      <c r="L44" s="15"/>
    </row>
    <row r="45" spans="1:12" s="16" customFormat="1" ht="163.19999999999999">
      <c r="A45" s="5" t="s">
        <v>464</v>
      </c>
      <c r="B45" s="5" t="s">
        <v>59</v>
      </c>
      <c r="C45" s="6" t="s">
        <v>360</v>
      </c>
      <c r="D45" s="5" t="s">
        <v>35</v>
      </c>
      <c r="E45" s="5" t="s">
        <v>68</v>
      </c>
      <c r="F45" s="5" t="s">
        <v>295</v>
      </c>
      <c r="G45" s="73" t="s">
        <v>621</v>
      </c>
      <c r="H45" s="69" t="s">
        <v>172</v>
      </c>
      <c r="I45" s="70">
        <f>IFERROR(VLOOKUP(H45,Dados!$A$1:$B$58,2,0),"")</f>
        <v>15</v>
      </c>
      <c r="J45" s="116">
        <f>VLOOKUP(H45,Dados!$A$2:$E$53,4,0)</f>
        <v>100</v>
      </c>
      <c r="K45" s="84">
        <v>78452.12</v>
      </c>
      <c r="L45" s="15"/>
    </row>
    <row r="46" spans="1:12" s="16" customFormat="1" ht="163.19999999999999">
      <c r="A46" s="25" t="s">
        <v>7</v>
      </c>
      <c r="B46" s="25" t="s">
        <v>66</v>
      </c>
      <c r="C46" s="26" t="s">
        <v>216</v>
      </c>
      <c r="D46" s="25" t="s">
        <v>35</v>
      </c>
      <c r="E46" s="25" t="s">
        <v>68</v>
      </c>
      <c r="F46" s="25" t="s">
        <v>462</v>
      </c>
      <c r="G46" s="37" t="s">
        <v>471</v>
      </c>
      <c r="H46" s="27" t="s">
        <v>172</v>
      </c>
      <c r="I46" s="65">
        <f>IFERROR(VLOOKUP(H46,Dados!$A$1:$B$58,2,0),"")</f>
        <v>15</v>
      </c>
      <c r="J46" s="116">
        <f>VLOOKUP(H46,Dados!$A$2:$E$53,4,0)</f>
        <v>100</v>
      </c>
      <c r="K46" s="82"/>
      <c r="L46" s="15"/>
    </row>
    <row r="47" spans="1:12" s="16" customFormat="1" ht="234.6">
      <c r="A47" s="5" t="s">
        <v>196</v>
      </c>
      <c r="B47" s="5" t="s">
        <v>70</v>
      </c>
      <c r="C47" s="6" t="s">
        <v>217</v>
      </c>
      <c r="D47" s="5" t="s">
        <v>72</v>
      </c>
      <c r="E47" s="5" t="s">
        <v>12</v>
      </c>
      <c r="F47" s="5" t="s">
        <v>334</v>
      </c>
      <c r="G47" s="73" t="s">
        <v>696</v>
      </c>
      <c r="H47" s="69" t="s">
        <v>542</v>
      </c>
      <c r="I47" s="70">
        <f>IFERROR(VLOOKUP(H47,Dados!$A$1:$B$58,2,0),"")</f>
        <v>9</v>
      </c>
      <c r="J47" s="116">
        <f>VLOOKUP(H47,Dados!$A$2:$E$53,4,0)</f>
        <v>70</v>
      </c>
      <c r="K47" s="84">
        <v>1514837.22</v>
      </c>
      <c r="L47" s="15"/>
    </row>
    <row r="48" spans="1:12" s="16" customFormat="1" ht="214.2">
      <c r="A48" s="5" t="s">
        <v>7</v>
      </c>
      <c r="B48" s="5" t="s">
        <v>75</v>
      </c>
      <c r="C48" s="6" t="s">
        <v>218</v>
      </c>
      <c r="D48" s="5" t="s">
        <v>35</v>
      </c>
      <c r="E48" s="5" t="s">
        <v>12</v>
      </c>
      <c r="F48" s="5" t="s">
        <v>300</v>
      </c>
      <c r="G48" s="68" t="s">
        <v>691</v>
      </c>
      <c r="H48" s="69" t="s">
        <v>12</v>
      </c>
      <c r="I48" s="70">
        <f>IFERROR(VLOOKUP(H48,Dados!$A$1:$B$58,2,0),"")</f>
        <v>9</v>
      </c>
      <c r="J48" s="116">
        <f>VLOOKUP(H48,Dados!$A$2:$E$53,4,0)</f>
        <v>70</v>
      </c>
      <c r="K48" s="84">
        <v>21780.22</v>
      </c>
      <c r="L48" s="15"/>
    </row>
    <row r="49" spans="1:12" s="16" customFormat="1" ht="295.8">
      <c r="A49" s="5" t="s">
        <v>196</v>
      </c>
      <c r="B49" s="5" t="s">
        <v>77</v>
      </c>
      <c r="C49" s="6" t="s">
        <v>219</v>
      </c>
      <c r="D49" s="5" t="s">
        <v>51</v>
      </c>
      <c r="E49" s="5" t="s">
        <v>12</v>
      </c>
      <c r="F49" s="5" t="s">
        <v>571</v>
      </c>
      <c r="G49" s="73" t="s">
        <v>757</v>
      </c>
      <c r="H49" s="69" t="s">
        <v>172</v>
      </c>
      <c r="I49" s="70">
        <f>IFERROR(VLOOKUP(H49,Dados!$A$1:$B$58,2,0),"")</f>
        <v>15</v>
      </c>
      <c r="J49" s="116">
        <f>VLOOKUP(H49,Dados!$A$2:$E$53,4,0)</f>
        <v>100</v>
      </c>
      <c r="K49" s="84">
        <v>35600.04</v>
      </c>
      <c r="L49" s="15"/>
    </row>
    <row r="50" spans="1:12" s="16" customFormat="1" ht="173.4">
      <c r="A50" s="5" t="s">
        <v>196</v>
      </c>
      <c r="B50" s="5" t="s">
        <v>106</v>
      </c>
      <c r="C50" s="6" t="s">
        <v>256</v>
      </c>
      <c r="D50" s="5" t="s">
        <v>35</v>
      </c>
      <c r="E50" s="5" t="s">
        <v>12</v>
      </c>
      <c r="F50" s="5" t="s">
        <v>289</v>
      </c>
      <c r="G50" s="73" t="s">
        <v>739</v>
      </c>
      <c r="H50" s="69" t="s">
        <v>170</v>
      </c>
      <c r="I50" s="70">
        <f>IFERROR(VLOOKUP(H50,Dados!$A$1:$B$58,2,0),"")</f>
        <v>10</v>
      </c>
      <c r="J50" s="116">
        <f>VLOOKUP(H50,Dados!$A$2:$E$53,4,0)</f>
        <v>80</v>
      </c>
      <c r="K50" s="84">
        <v>4390.18</v>
      </c>
      <c r="L50" s="15"/>
    </row>
    <row r="51" spans="1:12" s="16" customFormat="1" ht="71.400000000000006">
      <c r="A51" s="25" t="s">
        <v>135</v>
      </c>
      <c r="B51" s="25" t="s">
        <v>110</v>
      </c>
      <c r="C51" s="26" t="s">
        <v>483</v>
      </c>
      <c r="D51" s="25" t="s">
        <v>35</v>
      </c>
      <c r="E51" s="25" t="s">
        <v>11</v>
      </c>
      <c r="F51" s="25"/>
      <c r="G51" s="6" t="s">
        <v>533</v>
      </c>
      <c r="H51" s="27" t="s">
        <v>172</v>
      </c>
      <c r="I51" s="65">
        <f>IFERROR(VLOOKUP(H51,Dados!$A$1:$B$58,2,0),"")</f>
        <v>15</v>
      </c>
      <c r="J51" s="116">
        <f>VLOOKUP(H51,Dados!$A$2:$E$53,4,0)</f>
        <v>100</v>
      </c>
      <c r="K51" s="82"/>
      <c r="L51" s="15"/>
    </row>
    <row r="52" spans="1:12" s="16" customFormat="1" ht="30.6">
      <c r="A52" s="25" t="s">
        <v>173</v>
      </c>
      <c r="B52" s="25" t="s">
        <v>112</v>
      </c>
      <c r="C52" s="26" t="s">
        <v>239</v>
      </c>
      <c r="D52" s="25" t="s">
        <v>15</v>
      </c>
      <c r="E52" s="25" t="s">
        <v>12</v>
      </c>
      <c r="F52" s="25"/>
      <c r="G52" s="37" t="s">
        <v>390</v>
      </c>
      <c r="H52" s="27" t="s">
        <v>173</v>
      </c>
      <c r="I52" s="65">
        <f>IFERROR(VLOOKUP(H52,Dados!$A$1:$B$58,2,0),"")</f>
        <v>16</v>
      </c>
      <c r="J52" s="116">
        <f>VLOOKUP(H52,Dados!$A$2:$E$53,4,0)</f>
        <v>0</v>
      </c>
      <c r="K52" s="82"/>
      <c r="L52" s="15"/>
    </row>
    <row r="53" spans="1:12" s="16" customFormat="1" ht="30.6">
      <c r="A53" s="25" t="s">
        <v>173</v>
      </c>
      <c r="B53" s="25" t="s">
        <v>113</v>
      </c>
      <c r="C53" s="26" t="s">
        <v>240</v>
      </c>
      <c r="D53" s="25" t="s">
        <v>15</v>
      </c>
      <c r="E53" s="25" t="s">
        <v>12</v>
      </c>
      <c r="F53" s="25"/>
      <c r="G53" s="37" t="s">
        <v>390</v>
      </c>
      <c r="H53" s="27" t="s">
        <v>173</v>
      </c>
      <c r="I53" s="65">
        <f>IFERROR(VLOOKUP(H53,Dados!$A$1:$B$58,2,0),"")</f>
        <v>16</v>
      </c>
      <c r="J53" s="116">
        <f>VLOOKUP(H53,Dados!$A$2:$E$53,4,0)</f>
        <v>0</v>
      </c>
      <c r="K53" s="82"/>
      <c r="L53" s="15"/>
    </row>
    <row r="54" spans="1:12" s="16" customFormat="1" ht="142.80000000000001">
      <c r="A54" s="5" t="s">
        <v>7</v>
      </c>
      <c r="B54" s="5" t="s">
        <v>115</v>
      </c>
      <c r="C54" s="6" t="s">
        <v>327</v>
      </c>
      <c r="D54" s="5" t="s">
        <v>4</v>
      </c>
      <c r="E54" s="5" t="s">
        <v>154</v>
      </c>
      <c r="F54" s="5"/>
      <c r="G54" s="68" t="s">
        <v>746</v>
      </c>
      <c r="H54" s="69" t="s">
        <v>165</v>
      </c>
      <c r="I54" s="70">
        <f>IFERROR(VLOOKUP(H54,Dados!$A$1:$B$58,2,0),"")</f>
        <v>4</v>
      </c>
      <c r="J54" s="116">
        <f>VLOOKUP(H54,Dados!$A$2:$E$53,4,0)</f>
        <v>20</v>
      </c>
      <c r="K54" s="87"/>
      <c r="L54" s="15"/>
    </row>
    <row r="55" spans="1:12" s="16" customFormat="1" ht="214.2">
      <c r="A55" s="25" t="s">
        <v>135</v>
      </c>
      <c r="B55" s="25" t="s">
        <v>150</v>
      </c>
      <c r="C55" s="26" t="s">
        <v>213</v>
      </c>
      <c r="D55" s="25" t="s">
        <v>144</v>
      </c>
      <c r="E55" s="25" t="s">
        <v>11</v>
      </c>
      <c r="F55" s="25"/>
      <c r="G55" s="6" t="s">
        <v>429</v>
      </c>
      <c r="H55" s="27" t="s">
        <v>171</v>
      </c>
      <c r="I55" s="65">
        <f>IFERROR(VLOOKUP(H55,Dados!$A$1:$B$58,2,0),"")</f>
        <v>11</v>
      </c>
      <c r="J55" s="116">
        <f>VLOOKUP(H55,Dados!$A$2:$E$53,4,0)</f>
        <v>90</v>
      </c>
      <c r="K55" s="82"/>
      <c r="L55" s="15"/>
    </row>
    <row r="56" spans="1:12" s="16" customFormat="1" ht="142.80000000000001">
      <c r="A56" s="25" t="s">
        <v>120</v>
      </c>
      <c r="B56" s="25" t="s">
        <v>121</v>
      </c>
      <c r="C56" s="26" t="s">
        <v>220</v>
      </c>
      <c r="D56" s="25" t="s">
        <v>24</v>
      </c>
      <c r="E56" s="25" t="s">
        <v>161</v>
      </c>
      <c r="F56" s="25" t="s">
        <v>354</v>
      </c>
      <c r="G56" s="37" t="s">
        <v>391</v>
      </c>
      <c r="H56" s="27" t="s">
        <v>172</v>
      </c>
      <c r="I56" s="65">
        <f>IFERROR(VLOOKUP(H56,Dados!$A$1:$B$58,2,0),"")</f>
        <v>15</v>
      </c>
      <c r="J56" s="116">
        <f>VLOOKUP(H56,Dados!$A$2:$E$53,4,0)</f>
        <v>100</v>
      </c>
      <c r="K56" s="82"/>
      <c r="L56" s="15"/>
    </row>
    <row r="57" spans="1:12" s="16" customFormat="1" ht="132.6">
      <c r="A57" s="25" t="s">
        <v>120</v>
      </c>
      <c r="B57" s="25" t="s">
        <v>139</v>
      </c>
      <c r="C57" s="26" t="s">
        <v>221</v>
      </c>
      <c r="D57" s="25" t="s">
        <v>141</v>
      </c>
      <c r="E57" s="25" t="s">
        <v>161</v>
      </c>
      <c r="F57" s="25" t="s">
        <v>417</v>
      </c>
      <c r="G57" s="37" t="s">
        <v>428</v>
      </c>
      <c r="H57" s="27" t="s">
        <v>171</v>
      </c>
      <c r="I57" s="65">
        <f>IFERROR(VLOOKUP(H57,Dados!$A$1:$B$58,2,0),"")</f>
        <v>11</v>
      </c>
      <c r="J57" s="116">
        <f>VLOOKUP(H57,Dados!$A$2:$E$53,4,0)</f>
        <v>90</v>
      </c>
      <c r="K57" s="82"/>
      <c r="L57" s="15"/>
    </row>
    <row r="58" spans="1:12" s="16" customFormat="1" ht="81.599999999999994">
      <c r="A58" s="5" t="s">
        <v>120</v>
      </c>
      <c r="B58" s="5" t="s">
        <v>271</v>
      </c>
      <c r="C58" s="6" t="s">
        <v>222</v>
      </c>
      <c r="D58" s="5" t="s">
        <v>134</v>
      </c>
      <c r="E58" s="5" t="s">
        <v>161</v>
      </c>
      <c r="F58" s="5" t="s">
        <v>295</v>
      </c>
      <c r="G58" s="37" t="s">
        <v>392</v>
      </c>
      <c r="H58" s="15" t="s">
        <v>172</v>
      </c>
      <c r="I58" s="66">
        <f>IFERROR(VLOOKUP(H58,Dados!$A$1:$B$58,2,0),"")</f>
        <v>15</v>
      </c>
      <c r="J58" s="116">
        <f>VLOOKUP(H58,Dados!$A$2:$E$53,4,0)</f>
        <v>100</v>
      </c>
      <c r="K58" s="82"/>
      <c r="L58" s="15"/>
    </row>
    <row r="59" spans="1:12" s="16" customFormat="1" ht="336.6">
      <c r="A59" s="5" t="s">
        <v>120</v>
      </c>
      <c r="B59" s="5" t="s">
        <v>136</v>
      </c>
      <c r="C59" s="6" t="s">
        <v>223</v>
      </c>
      <c r="D59" s="5" t="s">
        <v>35</v>
      </c>
      <c r="E59" s="5" t="s">
        <v>138</v>
      </c>
      <c r="F59" s="5" t="s">
        <v>368</v>
      </c>
      <c r="G59" s="6" t="s">
        <v>493</v>
      </c>
      <c r="H59" s="15" t="s">
        <v>172</v>
      </c>
      <c r="I59" s="66">
        <f>IFERROR(VLOOKUP(H59,Dados!$A$1:$B$58,2,0),"")</f>
        <v>15</v>
      </c>
      <c r="J59" s="116">
        <f>VLOOKUP(H59,Dados!$A$2:$E$53,4,0)</f>
        <v>100</v>
      </c>
      <c r="K59" s="82"/>
      <c r="L59" s="15"/>
    </row>
    <row r="60" spans="1:12" s="16" customFormat="1" ht="234.6">
      <c r="A60" s="5" t="s">
        <v>120</v>
      </c>
      <c r="B60" s="5" t="s">
        <v>145</v>
      </c>
      <c r="C60" s="6" t="s">
        <v>224</v>
      </c>
      <c r="D60" s="5" t="s">
        <v>100</v>
      </c>
      <c r="E60" s="5" t="s">
        <v>138</v>
      </c>
      <c r="F60" s="5" t="s">
        <v>583</v>
      </c>
      <c r="G60" s="72" t="s">
        <v>688</v>
      </c>
      <c r="H60" s="69" t="s">
        <v>172</v>
      </c>
      <c r="I60" s="70">
        <f>IFERROR(VLOOKUP(H60,Dados!$A$1:$B$58,2,0),"")</f>
        <v>15</v>
      </c>
      <c r="J60" s="116">
        <f>VLOOKUP(H60,Dados!$A$2:$E$53,4,0)</f>
        <v>100</v>
      </c>
      <c r="K60" s="83">
        <v>1917.42</v>
      </c>
      <c r="L60" s="15"/>
    </row>
    <row r="61" spans="1:12" s="16" customFormat="1" ht="163.19999999999999">
      <c r="A61" s="5" t="s">
        <v>120</v>
      </c>
      <c r="B61" s="5" t="s">
        <v>142</v>
      </c>
      <c r="C61" s="6" t="s">
        <v>225</v>
      </c>
      <c r="D61" s="5" t="s">
        <v>144</v>
      </c>
      <c r="E61" s="5" t="s">
        <v>161</v>
      </c>
      <c r="F61" s="5" t="s">
        <v>627</v>
      </c>
      <c r="G61" s="72" t="s">
        <v>689</v>
      </c>
      <c r="H61" s="69" t="s">
        <v>172</v>
      </c>
      <c r="I61" s="70">
        <f>IFERROR(VLOOKUP(H61,Dados!$A$1:$B$58,2,0),"")</f>
        <v>15</v>
      </c>
      <c r="J61" s="116">
        <f>VLOOKUP(H61,Dados!$A$2:$E$53,4,0)</f>
        <v>100</v>
      </c>
      <c r="K61" s="83">
        <v>426.24</v>
      </c>
      <c r="L61" s="15">
        <v>426.24</v>
      </c>
    </row>
    <row r="62" spans="1:12" s="16" customFormat="1" ht="40.799999999999997">
      <c r="A62" s="5" t="s">
        <v>120</v>
      </c>
      <c r="B62" s="5" t="s">
        <v>147</v>
      </c>
      <c r="C62" s="6" t="s">
        <v>220</v>
      </c>
      <c r="D62" s="5" t="s">
        <v>51</v>
      </c>
      <c r="E62" s="5" t="s">
        <v>161</v>
      </c>
      <c r="F62" s="5"/>
      <c r="G62" s="38" t="s">
        <v>393</v>
      </c>
      <c r="H62" s="15" t="s">
        <v>172</v>
      </c>
      <c r="I62" s="66">
        <f>IFERROR(VLOOKUP(H62,Dados!$A$1:$B$58,2,0),"")</f>
        <v>15</v>
      </c>
      <c r="J62" s="116">
        <f>VLOOKUP(H62,Dados!$A$2:$E$53,4,0)</f>
        <v>100</v>
      </c>
      <c r="K62" s="82"/>
      <c r="L62" s="15"/>
    </row>
    <row r="63" spans="1:12" s="16" customFormat="1" ht="112.2">
      <c r="A63" s="5" t="s">
        <v>120</v>
      </c>
      <c r="B63" s="5" t="s">
        <v>148</v>
      </c>
      <c r="C63" s="6" t="s">
        <v>226</v>
      </c>
      <c r="D63" s="5" t="s">
        <v>141</v>
      </c>
      <c r="E63" s="5" t="s">
        <v>138</v>
      </c>
      <c r="F63" s="5" t="s">
        <v>289</v>
      </c>
      <c r="G63" s="38" t="s">
        <v>394</v>
      </c>
      <c r="H63" s="15" t="s">
        <v>172</v>
      </c>
      <c r="I63" s="66">
        <f>IFERROR(VLOOKUP(H63,Dados!$A$1:$B$58,2,0),"")</f>
        <v>15</v>
      </c>
      <c r="J63" s="116">
        <f>VLOOKUP(H63,Dados!$A$2:$E$53,4,0)</f>
        <v>100</v>
      </c>
      <c r="K63" s="82"/>
      <c r="L63" s="15"/>
    </row>
    <row r="64" spans="1:12" s="16" customFormat="1" ht="81.599999999999994">
      <c r="A64" s="5" t="s">
        <v>701</v>
      </c>
      <c r="B64" s="5" t="s">
        <v>118</v>
      </c>
      <c r="C64" s="6" t="s">
        <v>254</v>
      </c>
      <c r="D64" s="5" t="s">
        <v>100</v>
      </c>
      <c r="E64" s="5" t="s">
        <v>91</v>
      </c>
      <c r="F64" s="5"/>
      <c r="G64" s="68" t="s">
        <v>771</v>
      </c>
      <c r="H64" s="69" t="s">
        <v>170</v>
      </c>
      <c r="I64" s="70">
        <f>IFERROR(VLOOKUP(H64,Dados!$A$1:$B$58,2,0),"")</f>
        <v>10</v>
      </c>
      <c r="J64" s="116">
        <f>VLOOKUP(H64,Dados!$A$2:$E$53,4,0)</f>
        <v>80</v>
      </c>
      <c r="K64" s="87"/>
      <c r="L64" s="15"/>
    </row>
    <row r="65" spans="1:12" s="16" customFormat="1" ht="61.2">
      <c r="A65" s="5" t="s">
        <v>117</v>
      </c>
      <c r="B65" s="5" t="s">
        <v>123</v>
      </c>
      <c r="C65" s="6" t="s">
        <v>227</v>
      </c>
      <c r="D65" s="5" t="s">
        <v>125</v>
      </c>
      <c r="E65" s="5" t="s">
        <v>161</v>
      </c>
      <c r="F65" s="5" t="s">
        <v>206</v>
      </c>
      <c r="G65" s="37" t="s">
        <v>395</v>
      </c>
      <c r="H65" s="15" t="s">
        <v>172</v>
      </c>
      <c r="I65" s="66">
        <f>IFERROR(VLOOKUP(H65,Dados!$A$1:$B$58,2,0),"")</f>
        <v>15</v>
      </c>
      <c r="J65" s="116">
        <f>VLOOKUP(H65,Dados!$A$2:$E$53,4,0)</f>
        <v>100</v>
      </c>
      <c r="K65" s="82"/>
      <c r="L65" s="15"/>
    </row>
    <row r="66" spans="1:12" s="16" customFormat="1" ht="61.2">
      <c r="A66" s="5" t="s">
        <v>117</v>
      </c>
      <c r="B66" s="5" t="s">
        <v>127</v>
      </c>
      <c r="C66" s="6" t="s">
        <v>255</v>
      </c>
      <c r="D66" s="5" t="s">
        <v>100</v>
      </c>
      <c r="E66" s="5" t="s">
        <v>91</v>
      </c>
      <c r="F66" s="5"/>
      <c r="G66" s="68" t="s">
        <v>463</v>
      </c>
      <c r="H66" s="69" t="s">
        <v>168</v>
      </c>
      <c r="I66" s="70">
        <f>IFERROR(VLOOKUP(H66,Dados!$A$1:$B$58,2,0),"")</f>
        <v>7</v>
      </c>
      <c r="J66" s="116">
        <f>VLOOKUP(H66,Dados!$A$2:$E$53,4,0)</f>
        <v>50</v>
      </c>
      <c r="K66" s="87"/>
      <c r="L66" s="15"/>
    </row>
    <row r="67" spans="1:12" s="16" customFormat="1" ht="61.2">
      <c r="A67" s="5" t="s">
        <v>120</v>
      </c>
      <c r="B67" s="5" t="s">
        <v>130</v>
      </c>
      <c r="C67" s="6" t="s">
        <v>274</v>
      </c>
      <c r="D67" s="5" t="s">
        <v>131</v>
      </c>
      <c r="E67" s="5" t="s">
        <v>11</v>
      </c>
      <c r="F67" s="5" t="s">
        <v>285</v>
      </c>
      <c r="G67" s="37" t="s">
        <v>396</v>
      </c>
      <c r="H67" s="15" t="s">
        <v>172</v>
      </c>
      <c r="I67" s="66">
        <f>IFERROR(VLOOKUP(H67,Dados!$A$1:$B$58,2,0),"")</f>
        <v>15</v>
      </c>
      <c r="J67" s="116">
        <f>VLOOKUP(H67,Dados!$A$2:$E$53,4,0)</f>
        <v>100</v>
      </c>
      <c r="K67" s="82"/>
      <c r="L67" s="15"/>
    </row>
    <row r="68" spans="1:12" s="16" customFormat="1" ht="30.6">
      <c r="A68" s="5" t="s">
        <v>117</v>
      </c>
      <c r="B68" s="5" t="s">
        <v>129</v>
      </c>
      <c r="C68" s="6" t="s">
        <v>228</v>
      </c>
      <c r="D68" s="5" t="s">
        <v>132</v>
      </c>
      <c r="E68" s="5" t="s">
        <v>94</v>
      </c>
      <c r="F68" s="5" t="s">
        <v>189</v>
      </c>
      <c r="G68" s="37" t="s">
        <v>397</v>
      </c>
      <c r="H68" s="15" t="s">
        <v>172</v>
      </c>
      <c r="I68" s="66">
        <f>IFERROR(VLOOKUP(H68,Dados!$A$1:$B$58,2,0),"")</f>
        <v>15</v>
      </c>
      <c r="J68" s="116">
        <f>VLOOKUP(H68,Dados!$A$2:$E$53,4,0)</f>
        <v>100</v>
      </c>
      <c r="K68" s="82"/>
      <c r="L68" s="15"/>
    </row>
    <row r="69" spans="1:12" s="16" customFormat="1" ht="102">
      <c r="A69" s="5" t="s">
        <v>504</v>
      </c>
      <c r="B69" s="5" t="s">
        <v>190</v>
      </c>
      <c r="C69" s="6" t="s">
        <v>229</v>
      </c>
      <c r="D69" s="5" t="s">
        <v>72</v>
      </c>
      <c r="E69" s="5" t="s">
        <v>161</v>
      </c>
      <c r="F69" s="5" t="s">
        <v>202</v>
      </c>
      <c r="G69" s="37" t="s">
        <v>649</v>
      </c>
      <c r="H69" s="15" t="s">
        <v>172</v>
      </c>
      <c r="I69" s="66">
        <f>IFERROR(VLOOKUP(H69,Dados!$A$1:$B$58,2,0),"")</f>
        <v>15</v>
      </c>
      <c r="J69" s="116">
        <f>VLOOKUP(H69,Dados!$A$2:$E$53,4,0)</f>
        <v>100</v>
      </c>
      <c r="K69" s="82"/>
      <c r="L69" s="15"/>
    </row>
    <row r="70" spans="1:12" s="16" customFormat="1" ht="61.2">
      <c r="A70" s="25" t="s">
        <v>6</v>
      </c>
      <c r="B70" s="25" t="s">
        <v>176</v>
      </c>
      <c r="C70" s="26" t="s">
        <v>177</v>
      </c>
      <c r="D70" s="25" t="s">
        <v>178</v>
      </c>
      <c r="E70" s="25" t="s">
        <v>179</v>
      </c>
      <c r="F70" s="25"/>
      <c r="G70" s="37" t="s">
        <v>398</v>
      </c>
      <c r="H70" s="27" t="s">
        <v>172</v>
      </c>
      <c r="I70" s="65">
        <f>IFERROR(VLOOKUP(H70,Dados!$A$1:$B$58,2,0),"")</f>
        <v>15</v>
      </c>
      <c r="J70" s="116">
        <f>VLOOKUP(H70,Dados!$A$2:$E$53,4,0)</f>
        <v>100</v>
      </c>
      <c r="K70" s="82"/>
      <c r="L70" s="15"/>
    </row>
    <row r="71" spans="1:12" s="16" customFormat="1" ht="112.2">
      <c r="A71" s="25" t="s">
        <v>6</v>
      </c>
      <c r="B71" s="25" t="s">
        <v>180</v>
      </c>
      <c r="C71" s="26" t="s">
        <v>230</v>
      </c>
      <c r="D71" s="25" t="s">
        <v>3</v>
      </c>
      <c r="E71" s="25" t="s">
        <v>11</v>
      </c>
      <c r="F71" s="25" t="s">
        <v>330</v>
      </c>
      <c r="G71" s="37" t="s">
        <v>399</v>
      </c>
      <c r="H71" s="27" t="s">
        <v>172</v>
      </c>
      <c r="I71" s="65">
        <f>IFERROR(VLOOKUP(H71,Dados!$A$1:$B$58,2,0),"")</f>
        <v>15</v>
      </c>
      <c r="J71" s="116">
        <f>VLOOKUP(H71,Dados!$A$2:$E$53,4,0)</f>
        <v>100</v>
      </c>
      <c r="K71" s="82"/>
      <c r="L71" s="15"/>
    </row>
    <row r="72" spans="1:12" s="16" customFormat="1" ht="81.599999999999994">
      <c r="A72" s="25" t="s">
        <v>135</v>
      </c>
      <c r="B72" s="25" t="s">
        <v>182</v>
      </c>
      <c r="C72" s="26" t="s">
        <v>231</v>
      </c>
      <c r="D72" s="25" t="s">
        <v>184</v>
      </c>
      <c r="E72" s="25" t="s">
        <v>161</v>
      </c>
      <c r="F72" s="25" t="s">
        <v>329</v>
      </c>
      <c r="G72" s="37" t="s">
        <v>400</v>
      </c>
      <c r="H72" s="27" t="s">
        <v>172</v>
      </c>
      <c r="I72" s="65">
        <f>IFERROR(VLOOKUP(H72,Dados!$A$1:$B$58,2,0),"")</f>
        <v>15</v>
      </c>
      <c r="J72" s="116">
        <f>VLOOKUP(H72,Dados!$A$2:$E$53,4,0)</f>
        <v>100</v>
      </c>
      <c r="K72" s="82"/>
      <c r="L72" s="15"/>
    </row>
    <row r="73" spans="1:12" s="16" customFormat="1" ht="163.19999999999999">
      <c r="A73" s="25" t="s">
        <v>135</v>
      </c>
      <c r="B73" s="25" t="s">
        <v>185</v>
      </c>
      <c r="C73" s="26" t="s">
        <v>232</v>
      </c>
      <c r="D73" s="25" t="s">
        <v>187</v>
      </c>
      <c r="E73" s="25" t="s">
        <v>138</v>
      </c>
      <c r="F73" s="25" t="s">
        <v>358</v>
      </c>
      <c r="G73" s="6" t="s">
        <v>401</v>
      </c>
      <c r="H73" s="27" t="s">
        <v>172</v>
      </c>
      <c r="I73" s="65">
        <f>IFERROR(VLOOKUP(H73,Dados!$A$1:$B$58,2,0),"")</f>
        <v>15</v>
      </c>
      <c r="J73" s="116">
        <f>VLOOKUP(H73,Dados!$A$2:$E$53,4,0)</f>
        <v>100</v>
      </c>
      <c r="K73" s="82"/>
      <c r="L73" s="15"/>
    </row>
    <row r="74" spans="1:12" s="16" customFormat="1" ht="204">
      <c r="A74" s="25" t="s">
        <v>135</v>
      </c>
      <c r="B74" s="25" t="s">
        <v>191</v>
      </c>
      <c r="C74" s="26" t="s">
        <v>233</v>
      </c>
      <c r="D74" s="25" t="s">
        <v>193</v>
      </c>
      <c r="E74" s="25" t="s">
        <v>317</v>
      </c>
      <c r="F74" s="25" t="s">
        <v>316</v>
      </c>
      <c r="G74" s="37" t="s">
        <v>402</v>
      </c>
      <c r="H74" s="27" t="s">
        <v>172</v>
      </c>
      <c r="I74" s="65">
        <f>IFERROR(VLOOKUP(H74,Dados!$A$1:$B$58,2,0),"")</f>
        <v>15</v>
      </c>
      <c r="J74" s="116">
        <f>VLOOKUP(H74,Dados!$A$2:$E$53,4,0)</f>
        <v>100</v>
      </c>
      <c r="K74" s="82"/>
      <c r="L74" s="15"/>
    </row>
    <row r="75" spans="1:12" s="16" customFormat="1" ht="71.400000000000006">
      <c r="A75" s="7" t="s">
        <v>618</v>
      </c>
      <c r="B75" s="7" t="s">
        <v>612</v>
      </c>
      <c r="C75" s="8" t="s">
        <v>252</v>
      </c>
      <c r="D75" s="7" t="s">
        <v>125</v>
      </c>
      <c r="E75" s="7" t="s">
        <v>11</v>
      </c>
      <c r="F75" s="7"/>
      <c r="G75" s="74" t="s">
        <v>775</v>
      </c>
      <c r="H75" s="69" t="s">
        <v>163</v>
      </c>
      <c r="I75" s="70">
        <f>IFERROR(VLOOKUP(H75,Dados!$A$1:$B$58,2,0),"")</f>
        <v>2</v>
      </c>
      <c r="J75" s="116">
        <f>VLOOKUP(H75,Dados!$A$2:$E$53,4,0)</f>
        <v>10</v>
      </c>
      <c r="K75" s="97">
        <v>76440</v>
      </c>
      <c r="L75" s="15"/>
    </row>
    <row r="76" spans="1:12" s="16" customFormat="1" ht="224.4">
      <c r="A76" s="30" t="s">
        <v>464</v>
      </c>
      <c r="B76" s="30" t="s">
        <v>203</v>
      </c>
      <c r="C76" s="27" t="s">
        <v>234</v>
      </c>
      <c r="D76" s="30" t="s">
        <v>4</v>
      </c>
      <c r="E76" s="30" t="s">
        <v>12</v>
      </c>
      <c r="F76" s="30" t="s">
        <v>451</v>
      </c>
      <c r="G76" s="8" t="s">
        <v>562</v>
      </c>
      <c r="H76" s="27" t="s">
        <v>172</v>
      </c>
      <c r="I76" s="65">
        <f>IFERROR(VLOOKUP(H76,Dados!$A$1:$B$58,2,0),"")</f>
        <v>15</v>
      </c>
      <c r="J76" s="116">
        <f>VLOOKUP(H76,Dados!$A$2:$E$53,4,0)</f>
        <v>100</v>
      </c>
      <c r="K76" s="82"/>
      <c r="L76" s="15"/>
    </row>
    <row r="77" spans="1:12" s="16" customFormat="1" ht="295.8">
      <c r="A77" s="30" t="s">
        <v>6</v>
      </c>
      <c r="B77" s="30" t="s">
        <v>270</v>
      </c>
      <c r="C77" s="27" t="s">
        <v>375</v>
      </c>
      <c r="D77" s="30" t="s">
        <v>3</v>
      </c>
      <c r="E77" s="30" t="s">
        <v>11</v>
      </c>
      <c r="F77" s="30" t="s">
        <v>469</v>
      </c>
      <c r="G77" s="39" t="s">
        <v>491</v>
      </c>
      <c r="H77" s="27" t="s">
        <v>172</v>
      </c>
      <c r="I77" s="65">
        <f>IFERROR(VLOOKUP(H77,Dados!$A$1:$B$58,2,0),"")</f>
        <v>15</v>
      </c>
      <c r="J77" s="116">
        <f>VLOOKUP(H77,Dados!$A$2:$E$53,4,0)</f>
        <v>100</v>
      </c>
      <c r="K77" s="82"/>
      <c r="L77" s="15"/>
    </row>
    <row r="78" spans="1:12" s="16" customFormat="1" ht="153">
      <c r="A78" s="7" t="s">
        <v>7</v>
      </c>
      <c r="B78" s="7" t="s">
        <v>272</v>
      </c>
      <c r="C78" s="8" t="s">
        <v>273</v>
      </c>
      <c r="D78" s="7" t="s">
        <v>548</v>
      </c>
      <c r="E78" s="7" t="s">
        <v>161</v>
      </c>
      <c r="F78" s="7"/>
      <c r="G78" s="74" t="s">
        <v>619</v>
      </c>
      <c r="H78" s="69" t="s">
        <v>165</v>
      </c>
      <c r="I78" s="70">
        <f>IFERROR(VLOOKUP(H78,Dados!$A$1:$B$58,2,0),"")</f>
        <v>4</v>
      </c>
      <c r="J78" s="116">
        <f>VLOOKUP(H78,Dados!$A$2:$E$53,4,0)</f>
        <v>20</v>
      </c>
      <c r="K78" s="81">
        <v>11960</v>
      </c>
      <c r="L78" s="15"/>
    </row>
    <row r="79" spans="1:12" s="16" customFormat="1" ht="102">
      <c r="A79" s="30" t="s">
        <v>120</v>
      </c>
      <c r="B79" s="30" t="s">
        <v>275</v>
      </c>
      <c r="C79" s="27" t="s">
        <v>276</v>
      </c>
      <c r="D79" s="30" t="s">
        <v>23</v>
      </c>
      <c r="E79" s="30" t="s">
        <v>161</v>
      </c>
      <c r="F79" s="30" t="s">
        <v>300</v>
      </c>
      <c r="G79" s="39" t="s">
        <v>403</v>
      </c>
      <c r="H79" s="27" t="s">
        <v>172</v>
      </c>
      <c r="I79" s="65">
        <f>IFERROR(VLOOKUP(H79,Dados!$A$1:$B$58,2,0),"")</f>
        <v>15</v>
      </c>
      <c r="J79" s="116">
        <f>VLOOKUP(H79,Dados!$A$2:$E$53,4,0)</f>
        <v>100</v>
      </c>
      <c r="K79" s="82"/>
      <c r="L79" s="15"/>
    </row>
    <row r="80" spans="1:12" s="16" customFormat="1" ht="122.4">
      <c r="A80" s="30" t="s">
        <v>120</v>
      </c>
      <c r="B80" s="30" t="s">
        <v>278</v>
      </c>
      <c r="C80" s="27" t="s">
        <v>279</v>
      </c>
      <c r="D80" s="30" t="s">
        <v>141</v>
      </c>
      <c r="E80" s="30" t="s">
        <v>290</v>
      </c>
      <c r="F80" s="30" t="s">
        <v>312</v>
      </c>
      <c r="G80" s="8" t="s">
        <v>420</v>
      </c>
      <c r="H80" s="27" t="s">
        <v>172</v>
      </c>
      <c r="I80" s="65">
        <f>IFERROR(VLOOKUP(H80,Dados!$A$1:$B$58,2,0),"")</f>
        <v>15</v>
      </c>
      <c r="J80" s="116">
        <f>VLOOKUP(H80,Dados!$A$2:$E$53,4,0)</f>
        <v>100</v>
      </c>
      <c r="K80" s="82"/>
      <c r="L80" s="15"/>
    </row>
    <row r="81" spans="1:12" s="16" customFormat="1" ht="295.8">
      <c r="A81" s="7" t="s">
        <v>750</v>
      </c>
      <c r="B81" s="7" t="s">
        <v>277</v>
      </c>
      <c r="C81" s="8" t="s">
        <v>421</v>
      </c>
      <c r="D81" s="7" t="s">
        <v>4</v>
      </c>
      <c r="E81" s="7" t="s">
        <v>12</v>
      </c>
      <c r="F81" s="7"/>
      <c r="G81" s="75" t="s">
        <v>707</v>
      </c>
      <c r="H81" s="69" t="s">
        <v>12</v>
      </c>
      <c r="I81" s="70">
        <f>IFERROR(VLOOKUP(H81,Dados!$A$1:$B$58,2,0),"")</f>
        <v>9</v>
      </c>
      <c r="J81" s="116">
        <f>VLOOKUP(H81,Dados!$A$2:$E$53,4,0)</f>
        <v>70</v>
      </c>
      <c r="K81" s="81">
        <v>265713.13</v>
      </c>
      <c r="L81" s="15"/>
    </row>
    <row r="82" spans="1:12" s="16" customFormat="1" ht="10.199999999999999">
      <c r="A82" s="7" t="s">
        <v>286</v>
      </c>
      <c r="B82" s="7"/>
      <c r="C82" s="8" t="s">
        <v>287</v>
      </c>
      <c r="D82" s="7" t="s">
        <v>288</v>
      </c>
      <c r="E82" s="7" t="s">
        <v>11</v>
      </c>
      <c r="F82" s="7"/>
      <c r="G82" s="68" t="s">
        <v>405</v>
      </c>
      <c r="H82" s="69" t="s">
        <v>197</v>
      </c>
      <c r="I82" s="70">
        <f>IFERROR(VLOOKUP(H82,Dados!$A$1:$B$58,2,0),"")</f>
        <v>1</v>
      </c>
      <c r="J82" s="116">
        <f>VLOOKUP(H82,Dados!$A$2:$E$53,4,0)</f>
        <v>5</v>
      </c>
      <c r="K82" s="87"/>
      <c r="L82" s="15"/>
    </row>
    <row r="83" spans="1:12" s="16" customFormat="1" ht="40.799999999999997">
      <c r="A83" s="30" t="s">
        <v>120</v>
      </c>
      <c r="B83" s="30" t="s">
        <v>291</v>
      </c>
      <c r="C83" s="27" t="s">
        <v>292</v>
      </c>
      <c r="D83" s="30" t="s">
        <v>4</v>
      </c>
      <c r="E83" s="30" t="s">
        <v>11</v>
      </c>
      <c r="F83" s="30"/>
      <c r="G83" s="39" t="s">
        <v>406</v>
      </c>
      <c r="H83" s="27" t="s">
        <v>173</v>
      </c>
      <c r="I83" s="65">
        <f>IFERROR(VLOOKUP(H83,Dados!$A$1:$B$58,2,0),"")</f>
        <v>16</v>
      </c>
      <c r="J83" s="116">
        <f>VLOOKUP(H83,Dados!$A$2:$E$53,4,0)</f>
        <v>0</v>
      </c>
      <c r="K83" s="82"/>
      <c r="L83" s="15"/>
    </row>
    <row r="84" spans="1:12" s="16" customFormat="1" ht="91.8">
      <c r="A84" s="30" t="s">
        <v>64</v>
      </c>
      <c r="B84" s="30" t="s">
        <v>293</v>
      </c>
      <c r="C84" s="27" t="s">
        <v>233</v>
      </c>
      <c r="D84" s="30" t="s">
        <v>193</v>
      </c>
      <c r="E84" s="30" t="s">
        <v>12</v>
      </c>
      <c r="F84" s="30"/>
      <c r="G84" s="39" t="s">
        <v>407</v>
      </c>
      <c r="H84" s="27" t="s">
        <v>173</v>
      </c>
      <c r="I84" s="65">
        <f>IFERROR(VLOOKUP(H84,Dados!$A$1:$B$58,2,0),"")</f>
        <v>16</v>
      </c>
      <c r="J84" s="116">
        <f>VLOOKUP(H84,Dados!$A$2:$E$53,4,0)</f>
        <v>0</v>
      </c>
      <c r="K84" s="82"/>
      <c r="L84" s="15"/>
    </row>
    <row r="85" spans="1:12" s="16" customFormat="1" ht="275.39999999999998">
      <c r="A85" s="7" t="s">
        <v>196</v>
      </c>
      <c r="B85" s="7" t="s">
        <v>294</v>
      </c>
      <c r="C85" s="8" t="s">
        <v>444</v>
      </c>
      <c r="D85" s="7" t="s">
        <v>3</v>
      </c>
      <c r="E85" s="7" t="s">
        <v>68</v>
      </c>
      <c r="F85" s="7" t="s">
        <v>354</v>
      </c>
      <c r="G85" s="74" t="s">
        <v>697</v>
      </c>
      <c r="H85" s="69" t="s">
        <v>542</v>
      </c>
      <c r="I85" s="70">
        <f>IFERROR(VLOOKUP(H85,Dados!$A$1:$B$58,2,0),"")</f>
        <v>9</v>
      </c>
      <c r="J85" s="116">
        <f>VLOOKUP(H85,Dados!$A$2:$E$53,4,0)</f>
        <v>70</v>
      </c>
      <c r="K85" s="84">
        <v>3262500</v>
      </c>
      <c r="L85" s="15"/>
    </row>
    <row r="86" spans="1:12" s="16" customFormat="1" ht="122.4">
      <c r="A86" s="30" t="s">
        <v>120</v>
      </c>
      <c r="B86" s="30" t="s">
        <v>297</v>
      </c>
      <c r="C86" s="27" t="s">
        <v>342</v>
      </c>
      <c r="D86" s="30" t="s">
        <v>60</v>
      </c>
      <c r="E86" s="30" t="s">
        <v>94</v>
      </c>
      <c r="F86" s="30" t="s">
        <v>361</v>
      </c>
      <c r="G86" s="39" t="s">
        <v>408</v>
      </c>
      <c r="H86" s="27" t="s">
        <v>172</v>
      </c>
      <c r="I86" s="65">
        <f>IFERROR(VLOOKUP(H86,Dados!$A$1:$B$58,2,0),"")</f>
        <v>15</v>
      </c>
      <c r="J86" s="116">
        <f>VLOOKUP(H86,Dados!$A$2:$E$53,4,0)</f>
        <v>100</v>
      </c>
      <c r="K86" s="82"/>
      <c r="L86" s="15"/>
    </row>
    <row r="87" spans="1:12" s="16" customFormat="1" ht="112.2">
      <c r="A87" s="30" t="s">
        <v>135</v>
      </c>
      <c r="B87" s="30" t="s">
        <v>296</v>
      </c>
      <c r="C87" s="27" t="s">
        <v>231</v>
      </c>
      <c r="D87" s="30" t="s">
        <v>134</v>
      </c>
      <c r="E87" s="30" t="s">
        <v>161</v>
      </c>
      <c r="F87" s="30"/>
      <c r="G87" s="39" t="s">
        <v>409</v>
      </c>
      <c r="H87" s="27" t="s">
        <v>172</v>
      </c>
      <c r="I87" s="65">
        <f>IFERROR(VLOOKUP(H87,Dados!$A$1:$B$58,2,0),"")</f>
        <v>15</v>
      </c>
      <c r="J87" s="116">
        <f>VLOOKUP(H87,Dados!$A$2:$E$53,4,0)</f>
        <v>100</v>
      </c>
      <c r="K87" s="82"/>
      <c r="L87" s="15"/>
    </row>
    <row r="88" spans="1:12" s="16" customFormat="1" ht="102">
      <c r="A88" s="30" t="s">
        <v>135</v>
      </c>
      <c r="B88" s="30" t="s">
        <v>299</v>
      </c>
      <c r="C88" s="27" t="s">
        <v>276</v>
      </c>
      <c r="D88" s="30" t="s">
        <v>20</v>
      </c>
      <c r="E88" s="30" t="s">
        <v>161</v>
      </c>
      <c r="F88" s="30" t="s">
        <v>315</v>
      </c>
      <c r="G88" s="39" t="s">
        <v>410</v>
      </c>
      <c r="H88" s="27" t="s">
        <v>172</v>
      </c>
      <c r="I88" s="65">
        <f>IFERROR(VLOOKUP(H88,Dados!$A$1:$B$58,2,0),"")</f>
        <v>15</v>
      </c>
      <c r="J88" s="116">
        <f>VLOOKUP(H88,Dados!$A$2:$E$53,4,0)</f>
        <v>100</v>
      </c>
      <c r="K88" s="82"/>
      <c r="L88" s="15"/>
    </row>
    <row r="89" spans="1:12" s="16" customFormat="1" ht="102">
      <c r="A89" s="30" t="s">
        <v>120</v>
      </c>
      <c r="B89" s="30" t="s">
        <v>301</v>
      </c>
      <c r="C89" s="27" t="s">
        <v>292</v>
      </c>
      <c r="D89" s="30" t="s">
        <v>4</v>
      </c>
      <c r="E89" s="30" t="s">
        <v>161</v>
      </c>
      <c r="F89" s="30" t="s">
        <v>334</v>
      </c>
      <c r="G89" s="39" t="s">
        <v>411</v>
      </c>
      <c r="H89" s="27" t="s">
        <v>172</v>
      </c>
      <c r="I89" s="65">
        <f>IFERROR(VLOOKUP(H89,Dados!$A$1:$B$58,2,0),"")</f>
        <v>15</v>
      </c>
      <c r="J89" s="116">
        <f>VLOOKUP(H89,Dados!$A$2:$E$53,4,0)</f>
        <v>100</v>
      </c>
      <c r="K89" s="82"/>
      <c r="L89" s="15"/>
    </row>
    <row r="90" spans="1:12" s="16" customFormat="1" ht="255">
      <c r="A90" s="7" t="s">
        <v>618</v>
      </c>
      <c r="B90" s="7" t="s">
        <v>302</v>
      </c>
      <c r="C90" s="8" t="s">
        <v>303</v>
      </c>
      <c r="D90" s="7" t="s">
        <v>304</v>
      </c>
      <c r="E90" s="7" t="s">
        <v>12</v>
      </c>
      <c r="F90" s="61" t="s">
        <v>329</v>
      </c>
      <c r="G90" s="74" t="s">
        <v>749</v>
      </c>
      <c r="H90" s="69" t="s">
        <v>542</v>
      </c>
      <c r="I90" s="70">
        <f>IFERROR(VLOOKUP(H90,Dados!$A$1:$B$58,2,0),"")</f>
        <v>9</v>
      </c>
      <c r="J90" s="116">
        <f>VLOOKUP(H90,Dados!$A$2:$E$53,4,0)</f>
        <v>70</v>
      </c>
      <c r="K90" s="84">
        <v>45497.05</v>
      </c>
      <c r="L90" s="15"/>
    </row>
    <row r="91" spans="1:12" s="24" customFormat="1" ht="255">
      <c r="A91" s="7" t="s">
        <v>196</v>
      </c>
      <c r="B91" s="7" t="s">
        <v>305</v>
      </c>
      <c r="C91" s="8" t="s">
        <v>306</v>
      </c>
      <c r="D91" s="7" t="s">
        <v>4</v>
      </c>
      <c r="E91" s="7" t="s">
        <v>12</v>
      </c>
      <c r="F91" s="7" t="s">
        <v>417</v>
      </c>
      <c r="G91" s="74" t="s">
        <v>690</v>
      </c>
      <c r="H91" s="69" t="s">
        <v>542</v>
      </c>
      <c r="I91" s="70">
        <f>IFERROR(VLOOKUP(H91,Dados!$A$1:$B$58,2,0),"")</f>
        <v>9</v>
      </c>
      <c r="J91" s="116">
        <f>VLOOKUP(H91,Dados!$A$2:$E$53,4,0)</f>
        <v>70</v>
      </c>
      <c r="K91" s="81">
        <v>2661081.0099999998</v>
      </c>
      <c r="L91" s="67"/>
    </row>
    <row r="92" spans="1:12" s="24" customFormat="1" ht="40.799999999999997">
      <c r="A92" s="30"/>
      <c r="B92" s="30"/>
      <c r="C92" s="27" t="s">
        <v>307</v>
      </c>
      <c r="D92" s="30" t="s">
        <v>83</v>
      </c>
      <c r="E92" s="30" t="s">
        <v>138</v>
      </c>
      <c r="F92" s="30"/>
      <c r="G92" s="39" t="s">
        <v>412</v>
      </c>
      <c r="H92" s="27" t="s">
        <v>173</v>
      </c>
      <c r="I92" s="65">
        <f>IFERROR(VLOOKUP(H92,Dados!$A$1:$B$58,2,0),"")</f>
        <v>16</v>
      </c>
      <c r="J92" s="116">
        <f>VLOOKUP(H92,Dados!$A$2:$E$53,4,0)</f>
        <v>0</v>
      </c>
      <c r="K92" s="88"/>
      <c r="L92" s="67"/>
    </row>
    <row r="93" spans="1:12" s="24" customFormat="1" ht="163.19999999999999">
      <c r="A93" s="30" t="s">
        <v>135</v>
      </c>
      <c r="B93" s="30" t="s">
        <v>308</v>
      </c>
      <c r="C93" s="27" t="s">
        <v>310</v>
      </c>
      <c r="D93" s="30" t="s">
        <v>60</v>
      </c>
      <c r="E93" s="30" t="s">
        <v>94</v>
      </c>
      <c r="F93" s="36" t="s">
        <v>328</v>
      </c>
      <c r="G93" s="39" t="s">
        <v>413</v>
      </c>
      <c r="H93" s="27" t="s">
        <v>172</v>
      </c>
      <c r="I93" s="65">
        <f>IFERROR(VLOOKUP(H93,Dados!$A$1:$B$58,2,0),"")</f>
        <v>15</v>
      </c>
      <c r="J93" s="116">
        <f>VLOOKUP(H93,Dados!$A$2:$E$53,4,0)</f>
        <v>100</v>
      </c>
      <c r="K93" s="88"/>
      <c r="L93" s="67"/>
    </row>
    <row r="94" spans="1:12" s="24" customFormat="1" ht="112.2">
      <c r="A94" s="30" t="s">
        <v>135</v>
      </c>
      <c r="B94" s="30" t="s">
        <v>309</v>
      </c>
      <c r="C94" s="27" t="s">
        <v>311</v>
      </c>
      <c r="D94" s="30" t="s">
        <v>60</v>
      </c>
      <c r="E94" s="30" t="s">
        <v>94</v>
      </c>
      <c r="F94" s="36" t="s">
        <v>205</v>
      </c>
      <c r="G94" s="39" t="s">
        <v>414</v>
      </c>
      <c r="H94" s="27" t="s">
        <v>172</v>
      </c>
      <c r="I94" s="65">
        <f>IFERROR(VLOOKUP(H94,Dados!$A$1:$B$58,2,0),"")</f>
        <v>15</v>
      </c>
      <c r="J94" s="116">
        <f>VLOOKUP(H94,Dados!$A$2:$E$53,4,0)</f>
        <v>100</v>
      </c>
      <c r="K94" s="88"/>
      <c r="L94" s="67"/>
    </row>
    <row r="95" spans="1:12" s="24" customFormat="1" ht="112.2">
      <c r="A95" s="30" t="s">
        <v>120</v>
      </c>
      <c r="B95" s="30" t="s">
        <v>313</v>
      </c>
      <c r="C95" s="27" t="s">
        <v>314</v>
      </c>
      <c r="D95" s="30" t="s">
        <v>60</v>
      </c>
      <c r="E95" s="30" t="s">
        <v>335</v>
      </c>
      <c r="F95" s="36" t="s">
        <v>194</v>
      </c>
      <c r="G95" s="39" t="s">
        <v>415</v>
      </c>
      <c r="H95" s="27" t="s">
        <v>172</v>
      </c>
      <c r="I95" s="65">
        <f>IFERROR(VLOOKUP(H95,Dados!$A$1:$B$58,2,0),"")</f>
        <v>15</v>
      </c>
      <c r="J95" s="116">
        <f>VLOOKUP(H95,Dados!$A$2:$E$53,4,0)</f>
        <v>100</v>
      </c>
      <c r="K95" s="88"/>
      <c r="L95" s="67"/>
    </row>
    <row r="96" spans="1:12" s="24" customFormat="1" ht="306">
      <c r="A96" s="7" t="s">
        <v>196</v>
      </c>
      <c r="B96" s="7" t="s">
        <v>318</v>
      </c>
      <c r="C96" s="8" t="s">
        <v>319</v>
      </c>
      <c r="D96" s="7" t="s">
        <v>60</v>
      </c>
      <c r="E96" s="7" t="s">
        <v>12</v>
      </c>
      <c r="F96" s="7"/>
      <c r="G96" s="75" t="s">
        <v>698</v>
      </c>
      <c r="H96" s="69" t="s">
        <v>542</v>
      </c>
      <c r="I96" s="70">
        <f>IFERROR(VLOOKUP(H96,Dados!$A$1:$B$58,2,0),"")</f>
        <v>9</v>
      </c>
      <c r="J96" s="116">
        <f>VLOOKUP(H96,Dados!$A$2:$E$53,4,0)</f>
        <v>70</v>
      </c>
      <c r="K96" s="81">
        <v>67304.89</v>
      </c>
      <c r="L96" s="67"/>
    </row>
    <row r="97" spans="1:12" s="24" customFormat="1" ht="173.4">
      <c r="A97" s="7" t="s">
        <v>120</v>
      </c>
      <c r="B97" s="7" t="s">
        <v>320</v>
      </c>
      <c r="C97" s="8" t="s">
        <v>321</v>
      </c>
      <c r="D97" s="7" t="s">
        <v>60</v>
      </c>
      <c r="E97" s="7" t="s">
        <v>94</v>
      </c>
      <c r="F97" s="7" t="s">
        <v>778</v>
      </c>
      <c r="G97" s="74" t="s">
        <v>779</v>
      </c>
      <c r="H97" s="69" t="s">
        <v>172</v>
      </c>
      <c r="I97" s="70">
        <f>IFERROR(VLOOKUP(H97,Dados!$A$1:$B$58,2,0),"")</f>
        <v>15</v>
      </c>
      <c r="J97" s="116">
        <f>VLOOKUP(H97,Dados!$A$2:$E$53,4,0)</f>
        <v>100</v>
      </c>
      <c r="K97" s="87"/>
      <c r="L97" s="67"/>
    </row>
    <row r="98" spans="1:12" s="24" customFormat="1" ht="204">
      <c r="A98" s="7" t="s">
        <v>7</v>
      </c>
      <c r="B98" s="7" t="s">
        <v>322</v>
      </c>
      <c r="C98" s="8" t="s">
        <v>323</v>
      </c>
      <c r="D98" s="7" t="s">
        <v>35</v>
      </c>
      <c r="E98" s="7" t="s">
        <v>68</v>
      </c>
      <c r="F98" s="7" t="s">
        <v>576</v>
      </c>
      <c r="G98" s="74" t="s">
        <v>686</v>
      </c>
      <c r="H98" s="69" t="s">
        <v>542</v>
      </c>
      <c r="I98" s="70">
        <f>IFERROR(VLOOKUP(H98,Dados!$A$1:$B$58,2,0),"")</f>
        <v>9</v>
      </c>
      <c r="J98" s="116">
        <f>VLOOKUP(H98,Dados!$A$2:$E$53,4,0)</f>
        <v>70</v>
      </c>
      <c r="K98" s="84">
        <v>87270.22</v>
      </c>
      <c r="L98" s="67"/>
    </row>
    <row r="99" spans="1:12" s="24" customFormat="1" ht="71.400000000000006">
      <c r="A99" s="30" t="s">
        <v>196</v>
      </c>
      <c r="B99" s="30" t="s">
        <v>325</v>
      </c>
      <c r="C99" s="27" t="s">
        <v>370</v>
      </c>
      <c r="D99" s="30" t="s">
        <v>3</v>
      </c>
      <c r="E99" s="30" t="s">
        <v>154</v>
      </c>
      <c r="F99" s="30"/>
      <c r="G99" s="39" t="s">
        <v>460</v>
      </c>
      <c r="H99" s="27" t="s">
        <v>172</v>
      </c>
      <c r="I99" s="65">
        <f>IFERROR(VLOOKUP(H99,Dados!$A$1:$B$58,2,0),"")</f>
        <v>15</v>
      </c>
      <c r="J99" s="116">
        <f>VLOOKUP(H99,Dados!$A$2:$E$53,4,0)</f>
        <v>100</v>
      </c>
      <c r="K99" s="88"/>
      <c r="L99" s="67"/>
    </row>
    <row r="100" spans="1:12" s="24" customFormat="1" ht="224.4">
      <c r="A100" s="7" t="s">
        <v>725</v>
      </c>
      <c r="B100" s="7" t="s">
        <v>331</v>
      </c>
      <c r="C100" s="8" t="s">
        <v>332</v>
      </c>
      <c r="D100" s="7" t="s">
        <v>3</v>
      </c>
      <c r="E100" s="7" t="s">
        <v>12</v>
      </c>
      <c r="F100" s="62" t="s">
        <v>692</v>
      </c>
      <c r="G100" s="74" t="s">
        <v>724</v>
      </c>
      <c r="H100" s="69" t="s">
        <v>542</v>
      </c>
      <c r="I100" s="70">
        <f>IFERROR(VLOOKUP(H100,Dados!$A$1:$B$58,2,0),"")</f>
        <v>9</v>
      </c>
      <c r="J100" s="116">
        <f>VLOOKUP(H100,Dados!$A$2:$E$53,4,0)</f>
        <v>70</v>
      </c>
      <c r="K100" s="84">
        <v>20565.060000000001</v>
      </c>
      <c r="L100" s="67"/>
    </row>
    <row r="101" spans="1:12" s="24" customFormat="1" ht="173.4">
      <c r="A101" s="7" t="s">
        <v>196</v>
      </c>
      <c r="B101" s="7" t="s">
        <v>333</v>
      </c>
      <c r="C101" s="8" t="s">
        <v>445</v>
      </c>
      <c r="D101" s="7" t="s">
        <v>3</v>
      </c>
      <c r="E101" s="7" t="s">
        <v>68</v>
      </c>
      <c r="F101" s="7" t="s">
        <v>664</v>
      </c>
      <c r="G101" s="74" t="s">
        <v>694</v>
      </c>
      <c r="H101" s="69" t="s">
        <v>12</v>
      </c>
      <c r="I101" s="70">
        <f>IFERROR(VLOOKUP(H101,Dados!$A$1:$B$58,2,0),"")</f>
        <v>9</v>
      </c>
      <c r="J101" s="116">
        <f>VLOOKUP(H101,Dados!$A$2:$E$53,4,0)</f>
        <v>70</v>
      </c>
      <c r="K101" s="81">
        <v>2576482.56</v>
      </c>
      <c r="L101" s="67"/>
    </row>
    <row r="102" spans="1:12" s="24" customFormat="1" ht="81.599999999999994">
      <c r="A102" s="30" t="s">
        <v>120</v>
      </c>
      <c r="B102" s="30" t="s">
        <v>336</v>
      </c>
      <c r="C102" s="27" t="s">
        <v>431</v>
      </c>
      <c r="D102" s="30" t="s">
        <v>60</v>
      </c>
      <c r="E102" s="30" t="s">
        <v>94</v>
      </c>
      <c r="F102" s="30" t="s">
        <v>430</v>
      </c>
      <c r="G102" s="39" t="s">
        <v>432</v>
      </c>
      <c r="H102" s="27" t="s">
        <v>172</v>
      </c>
      <c r="I102" s="65">
        <f>IFERROR(VLOOKUP(H102,Dados!$A$1:$B$58,2,0),"")</f>
        <v>15</v>
      </c>
      <c r="J102" s="116">
        <f>VLOOKUP(H102,Dados!$A$2:$E$53,4,0)</f>
        <v>100</v>
      </c>
      <c r="K102" s="88"/>
      <c r="L102" s="67"/>
    </row>
    <row r="103" spans="1:12" s="24" customFormat="1" ht="163.19999999999999">
      <c r="A103" s="30" t="s">
        <v>6</v>
      </c>
      <c r="B103" s="30" t="s">
        <v>337</v>
      </c>
      <c r="C103" s="27" t="s">
        <v>357</v>
      </c>
      <c r="D103" s="30" t="s">
        <v>4</v>
      </c>
      <c r="E103" s="30" t="s">
        <v>154</v>
      </c>
      <c r="F103" s="30"/>
      <c r="G103" s="39" t="s">
        <v>557</v>
      </c>
      <c r="H103" s="27" t="s">
        <v>172</v>
      </c>
      <c r="I103" s="65">
        <f>IFERROR(VLOOKUP(H103,Dados!$A$1:$B$58,2,0),"")</f>
        <v>15</v>
      </c>
      <c r="J103" s="116">
        <f>VLOOKUP(H103,Dados!$A$2:$E$53,4,0)</f>
        <v>100</v>
      </c>
      <c r="K103" s="88"/>
      <c r="L103" s="67"/>
    </row>
    <row r="104" spans="1:12" s="24" customFormat="1" ht="326.39999999999998">
      <c r="A104" s="7" t="s">
        <v>135</v>
      </c>
      <c r="B104" s="7" t="s">
        <v>338</v>
      </c>
      <c r="C104" s="8" t="s">
        <v>339</v>
      </c>
      <c r="D104" s="7" t="s">
        <v>51</v>
      </c>
      <c r="E104" s="7" t="s">
        <v>11</v>
      </c>
      <c r="F104" s="7" t="s">
        <v>794</v>
      </c>
      <c r="G104" s="74" t="s">
        <v>795</v>
      </c>
      <c r="H104" s="69" t="s">
        <v>761</v>
      </c>
      <c r="I104" s="70">
        <f>IFERROR(VLOOKUP(H104,Dados!$A$1:$B$58,2,0),"")</f>
        <v>8</v>
      </c>
      <c r="J104" s="116">
        <f>VLOOKUP(H104,Dados!$A$2:$E$53,4,0)</f>
        <v>60</v>
      </c>
      <c r="K104" s="83">
        <v>85130.15</v>
      </c>
      <c r="L104" s="67"/>
    </row>
    <row r="105" spans="1:12" s="24" customFormat="1" ht="377.4">
      <c r="A105" s="7" t="s">
        <v>6</v>
      </c>
      <c r="B105" s="7" t="s">
        <v>345</v>
      </c>
      <c r="C105" s="8" t="s">
        <v>446</v>
      </c>
      <c r="D105" s="7" t="s">
        <v>3</v>
      </c>
      <c r="E105" s="7" t="s">
        <v>11</v>
      </c>
      <c r="F105" s="7" t="s">
        <v>664</v>
      </c>
      <c r="G105" s="74" t="s">
        <v>666</v>
      </c>
      <c r="H105" s="69" t="s">
        <v>172</v>
      </c>
      <c r="I105" s="70">
        <f>IFERROR(VLOOKUP(H105,Dados!$A$1:$B$58,2,0),"")</f>
        <v>15</v>
      </c>
      <c r="J105" s="116">
        <f>VLOOKUP(H105,Dados!$A$2:$E$53,4,0)</f>
        <v>100</v>
      </c>
      <c r="K105" s="83">
        <v>450728</v>
      </c>
      <c r="L105" s="67"/>
    </row>
    <row r="106" spans="1:12" s="24" customFormat="1" ht="224.4">
      <c r="A106" s="7" t="s">
        <v>6</v>
      </c>
      <c r="B106" s="7" t="s">
        <v>346</v>
      </c>
      <c r="C106" s="8" t="s">
        <v>604</v>
      </c>
      <c r="D106" s="7" t="s">
        <v>134</v>
      </c>
      <c r="E106" s="7" t="s">
        <v>91</v>
      </c>
      <c r="F106" s="7"/>
      <c r="G106" s="74" t="s">
        <v>712</v>
      </c>
      <c r="H106" s="69" t="s">
        <v>172</v>
      </c>
      <c r="I106" s="70">
        <f>IFERROR(VLOOKUP(H106,Dados!$A$1:$B$58,2,0),"")</f>
        <v>15</v>
      </c>
      <c r="J106" s="116">
        <f>VLOOKUP(H106,Dados!$A$2:$E$53,4,0)</f>
        <v>100</v>
      </c>
      <c r="K106" s="87"/>
      <c r="L106" s="67"/>
    </row>
    <row r="107" spans="1:12" s="24" customFormat="1" ht="183.6">
      <c r="A107" s="7" t="s">
        <v>7</v>
      </c>
      <c r="B107" s="7" t="s">
        <v>348</v>
      </c>
      <c r="C107" s="8" t="s">
        <v>347</v>
      </c>
      <c r="D107" s="7" t="s">
        <v>35</v>
      </c>
      <c r="E107" s="7" t="s">
        <v>68</v>
      </c>
      <c r="F107" s="7" t="s">
        <v>699</v>
      </c>
      <c r="G107" s="74" t="s">
        <v>758</v>
      </c>
      <c r="H107" s="69" t="s">
        <v>542</v>
      </c>
      <c r="I107" s="70">
        <f>IFERROR(VLOOKUP(H107,Dados!$A$1:$B$58,2,0),"")</f>
        <v>9</v>
      </c>
      <c r="J107" s="116">
        <f>VLOOKUP(H107,Dados!$A$2:$E$53,4,0)</f>
        <v>70</v>
      </c>
      <c r="K107" s="81">
        <v>105700.57</v>
      </c>
      <c r="L107" s="67"/>
    </row>
    <row r="108" spans="1:12" s="24" customFormat="1" ht="357">
      <c r="A108" s="7" t="s">
        <v>6</v>
      </c>
      <c r="B108" s="7" t="s">
        <v>349</v>
      </c>
      <c r="C108" s="8" t="s">
        <v>461</v>
      </c>
      <c r="D108" s="7" t="s">
        <v>3</v>
      </c>
      <c r="E108" s="7" t="s">
        <v>11</v>
      </c>
      <c r="F108" s="7"/>
      <c r="G108" s="74" t="s">
        <v>808</v>
      </c>
      <c r="H108" s="100" t="s">
        <v>170</v>
      </c>
      <c r="I108" s="70">
        <f>IFERROR(VLOOKUP(H108,Dados!$A$1:$B$58,2,0),"")</f>
        <v>10</v>
      </c>
      <c r="J108" s="116">
        <f>VLOOKUP(H108,Dados!$A$2:$E$53,4,0)</f>
        <v>80</v>
      </c>
      <c r="K108" s="83">
        <v>422000</v>
      </c>
      <c r="L108" s="67"/>
    </row>
    <row r="109" spans="1:12" s="24" customFormat="1" ht="306">
      <c r="A109" s="7" t="s">
        <v>6</v>
      </c>
      <c r="B109" s="7" t="s">
        <v>350</v>
      </c>
      <c r="C109" s="8" t="s">
        <v>351</v>
      </c>
      <c r="D109" s="7" t="s">
        <v>3</v>
      </c>
      <c r="E109" s="7" t="s">
        <v>11</v>
      </c>
      <c r="F109" s="7" t="s">
        <v>675</v>
      </c>
      <c r="G109" s="74" t="s">
        <v>676</v>
      </c>
      <c r="H109" s="69" t="s">
        <v>172</v>
      </c>
      <c r="I109" s="70">
        <f>IFERROR(VLOOKUP(H109,Dados!$A$1:$B$58,2,0),"")</f>
        <v>15</v>
      </c>
      <c r="J109" s="116">
        <f>VLOOKUP(H109,Dados!$A$2:$E$53,4,0)</f>
        <v>100</v>
      </c>
      <c r="K109" s="83">
        <v>335600</v>
      </c>
      <c r="L109" s="67"/>
    </row>
    <row r="110" spans="1:12" s="24" customFormat="1" ht="20.399999999999999">
      <c r="A110" s="7"/>
      <c r="B110" s="7" t="s">
        <v>355</v>
      </c>
      <c r="C110" s="8" t="s">
        <v>356</v>
      </c>
      <c r="D110" s="7" t="s">
        <v>144</v>
      </c>
      <c r="E110" s="7" t="s">
        <v>12</v>
      </c>
      <c r="F110" s="7"/>
      <c r="G110" s="74" t="s">
        <v>404</v>
      </c>
      <c r="H110" s="69" t="s">
        <v>165</v>
      </c>
      <c r="I110" s="70">
        <f>IFERROR(VLOOKUP(H110,Dados!$A$1:$B$58,2,0),"")</f>
        <v>4</v>
      </c>
      <c r="J110" s="116">
        <f>VLOOKUP(H110,Dados!$A$2:$E$53,4,0)</f>
        <v>20</v>
      </c>
      <c r="K110" s="87"/>
      <c r="L110" s="67"/>
    </row>
    <row r="111" spans="1:12" s="24" customFormat="1" ht="153">
      <c r="A111" s="27" t="s">
        <v>120</v>
      </c>
      <c r="B111" s="27" t="s">
        <v>362</v>
      </c>
      <c r="C111" s="27" t="s">
        <v>503</v>
      </c>
      <c r="D111" s="42" t="s">
        <v>363</v>
      </c>
      <c r="E111" s="41" t="s">
        <v>94</v>
      </c>
      <c r="F111" s="41" t="s">
        <v>298</v>
      </c>
      <c r="G111" s="39" t="s">
        <v>524</v>
      </c>
      <c r="H111" s="27" t="s">
        <v>172</v>
      </c>
      <c r="I111" s="65">
        <f>IFERROR(VLOOKUP(H111,Dados!$A$1:$B$58,2,0),"")</f>
        <v>15</v>
      </c>
      <c r="J111" s="116">
        <f>VLOOKUP(H111,Dados!$A$2:$E$53,4,0)</f>
        <v>100</v>
      </c>
      <c r="K111" s="88"/>
      <c r="L111" s="67"/>
    </row>
    <row r="112" spans="1:12" ht="133.19999999999999">
      <c r="A112" s="7" t="s">
        <v>618</v>
      </c>
      <c r="B112" s="7" t="s">
        <v>364</v>
      </c>
      <c r="C112" s="8" t="s">
        <v>447</v>
      </c>
      <c r="D112" s="63" t="s">
        <v>134</v>
      </c>
      <c r="E112" s="7" t="s">
        <v>12</v>
      </c>
      <c r="F112" s="7"/>
      <c r="G112" s="74" t="s">
        <v>705</v>
      </c>
      <c r="H112" s="69" t="s">
        <v>167</v>
      </c>
      <c r="I112" s="70">
        <f>IFERROR(VLOOKUP(H112,Dados!$A$1:$B$58,2,0),"")</f>
        <v>6</v>
      </c>
      <c r="J112" s="116">
        <f>VLOOKUP(H112,Dados!$A$2:$E$53,4,0)</f>
        <v>40</v>
      </c>
      <c r="K112" s="89"/>
      <c r="L112" s="2"/>
    </row>
    <row r="113" spans="1:12" ht="102.6">
      <c r="A113" s="7" t="s">
        <v>120</v>
      </c>
      <c r="B113" s="7" t="s">
        <v>365</v>
      </c>
      <c r="C113" s="8" t="s">
        <v>547</v>
      </c>
      <c r="D113" s="63" t="s">
        <v>15</v>
      </c>
      <c r="E113" s="7" t="s">
        <v>161</v>
      </c>
      <c r="F113" s="7"/>
      <c r="G113" s="74" t="s">
        <v>747</v>
      </c>
      <c r="H113" s="69" t="s">
        <v>165</v>
      </c>
      <c r="I113" s="70">
        <f>IFERROR(VLOOKUP(H113,Dados!$A$1:$B$58,2,0),"")</f>
        <v>4</v>
      </c>
      <c r="J113" s="116">
        <f>VLOOKUP(H113,Dados!$A$2:$E$53,4,0)</f>
        <v>20</v>
      </c>
      <c r="K113" s="83">
        <v>800.5</v>
      </c>
      <c r="L113" s="2"/>
    </row>
    <row r="114" spans="1:12" ht="41.4">
      <c r="A114" s="43" t="s">
        <v>120</v>
      </c>
      <c r="B114" s="43" t="s">
        <v>366</v>
      </c>
      <c r="C114" s="43" t="s">
        <v>367</v>
      </c>
      <c r="D114" s="44" t="s">
        <v>60</v>
      </c>
      <c r="E114" s="39" t="s">
        <v>94</v>
      </c>
      <c r="F114" s="39" t="s">
        <v>284</v>
      </c>
      <c r="G114" s="39" t="s">
        <v>427</v>
      </c>
      <c r="H114" s="43" t="s">
        <v>172</v>
      </c>
      <c r="I114" s="65">
        <f>IFERROR(VLOOKUP(H114,Dados!$A$1:$B$58,2,0),"")</f>
        <v>15</v>
      </c>
      <c r="J114" s="116">
        <f>VLOOKUP(H114,Dados!$A$2:$E$53,4,0)</f>
        <v>100</v>
      </c>
      <c r="K114" s="90"/>
      <c r="L114" s="2"/>
    </row>
    <row r="115" spans="1:12" ht="174">
      <c r="A115" s="30" t="s">
        <v>135</v>
      </c>
      <c r="B115" s="27" t="s">
        <v>371</v>
      </c>
      <c r="C115" s="27" t="s">
        <v>373</v>
      </c>
      <c r="D115" s="42" t="s">
        <v>60</v>
      </c>
      <c r="E115" s="41" t="s">
        <v>94</v>
      </c>
      <c r="F115" s="30" t="s">
        <v>289</v>
      </c>
      <c r="G115" s="39" t="s">
        <v>558</v>
      </c>
      <c r="H115" s="27" t="s">
        <v>172</v>
      </c>
      <c r="I115" s="65">
        <f>IFERROR(VLOOKUP(H115,Dados!$A$1:$B$58,2,0),"")</f>
        <v>15</v>
      </c>
      <c r="J115" s="116">
        <f>VLOOKUP(H115,Dados!$A$2:$E$53,4,0)</f>
        <v>100</v>
      </c>
      <c r="K115" s="90"/>
      <c r="L115" s="2"/>
    </row>
    <row r="116" spans="1:12" ht="143.4">
      <c r="A116" s="30" t="s">
        <v>120</v>
      </c>
      <c r="B116" s="27" t="s">
        <v>372</v>
      </c>
      <c r="C116" s="27" t="s">
        <v>374</v>
      </c>
      <c r="D116" s="42" t="s">
        <v>60</v>
      </c>
      <c r="E116" s="41" t="s">
        <v>94</v>
      </c>
      <c r="F116" s="30" t="s">
        <v>285</v>
      </c>
      <c r="G116" s="39" t="s">
        <v>559</v>
      </c>
      <c r="H116" s="27" t="s">
        <v>172</v>
      </c>
      <c r="I116" s="65">
        <f>IFERROR(VLOOKUP(H116,Dados!$A$1:$B$58,2,0),"")</f>
        <v>15</v>
      </c>
      <c r="J116" s="116">
        <f>VLOOKUP(H116,Dados!$A$2:$E$53,4,0)</f>
        <v>100</v>
      </c>
      <c r="K116" s="90"/>
      <c r="L116" s="2"/>
    </row>
    <row r="117" spans="1:12" ht="112.8">
      <c r="A117" s="27" t="s">
        <v>135</v>
      </c>
      <c r="B117" s="27" t="s">
        <v>418</v>
      </c>
      <c r="C117" s="27" t="s">
        <v>419</v>
      </c>
      <c r="D117" s="42" t="s">
        <v>51</v>
      </c>
      <c r="E117" s="41" t="s">
        <v>11</v>
      </c>
      <c r="F117" s="27" t="s">
        <v>417</v>
      </c>
      <c r="G117" s="39" t="s">
        <v>492</v>
      </c>
      <c r="H117" s="27" t="s">
        <v>172</v>
      </c>
      <c r="I117" s="65">
        <f>IFERROR(VLOOKUP(H117,Dados!$A$1:$B$58,2,0),"")</f>
        <v>15</v>
      </c>
      <c r="J117" s="116">
        <f>VLOOKUP(H117,Dados!$A$2:$E$53,4,0)</f>
        <v>100</v>
      </c>
      <c r="K117" s="90"/>
      <c r="L117" s="2"/>
    </row>
    <row r="118" spans="1:12" ht="204">
      <c r="A118" s="30" t="s">
        <v>120</v>
      </c>
      <c r="B118" s="30" t="s">
        <v>423</v>
      </c>
      <c r="C118" s="27" t="s">
        <v>424</v>
      </c>
      <c r="D118" s="42" t="s">
        <v>72</v>
      </c>
      <c r="E118" s="30" t="s">
        <v>94</v>
      </c>
      <c r="F118" s="27" t="s">
        <v>510</v>
      </c>
      <c r="G118" s="8" t="s">
        <v>511</v>
      </c>
      <c r="H118" s="27" t="s">
        <v>172</v>
      </c>
      <c r="I118" s="65">
        <f>IFERROR(VLOOKUP(H118,Dados!$A$1:$B$58,2,0),"")</f>
        <v>15</v>
      </c>
      <c r="J118" s="116">
        <f>VLOOKUP(H118,Dados!$A$2:$E$53,4,0)</f>
        <v>100</v>
      </c>
      <c r="K118" s="90"/>
      <c r="L118" s="2"/>
    </row>
    <row r="119" spans="1:12" ht="61.8">
      <c r="A119" s="27" t="s">
        <v>135</v>
      </c>
      <c r="B119" s="27" t="s">
        <v>425</v>
      </c>
      <c r="C119" s="27" t="s">
        <v>426</v>
      </c>
      <c r="D119" s="42" t="s">
        <v>60</v>
      </c>
      <c r="E119" s="41" t="s">
        <v>94</v>
      </c>
      <c r="F119" s="27"/>
      <c r="G119" s="39" t="s">
        <v>455</v>
      </c>
      <c r="H119" s="27" t="s">
        <v>172</v>
      </c>
      <c r="I119" s="65">
        <f>IFERROR(VLOOKUP(H119,Dados!$A$1:$B$58,2,0),"")</f>
        <v>15</v>
      </c>
      <c r="J119" s="116">
        <f>VLOOKUP(H119,Dados!$A$2:$E$53,4,0)</f>
        <v>100</v>
      </c>
      <c r="K119" s="90"/>
      <c r="L119" s="2"/>
    </row>
    <row r="120" spans="1:12" ht="143.4">
      <c r="A120" s="7" t="s">
        <v>6</v>
      </c>
      <c r="B120" s="7" t="s">
        <v>433</v>
      </c>
      <c r="C120" s="8" t="s">
        <v>434</v>
      </c>
      <c r="D120" s="63" t="s">
        <v>4</v>
      </c>
      <c r="E120" s="7" t="s">
        <v>12</v>
      </c>
      <c r="F120" s="7"/>
      <c r="G120" s="74" t="s">
        <v>764</v>
      </c>
      <c r="H120" s="69" t="s">
        <v>165</v>
      </c>
      <c r="I120" s="70">
        <f>IFERROR(VLOOKUP(H120,Dados!$A$1:$B$58,2,0),"")</f>
        <v>4</v>
      </c>
      <c r="J120" s="116">
        <f>VLOOKUP(H120,Dados!$A$2:$E$53,4,0)</f>
        <v>20</v>
      </c>
      <c r="K120" s="89"/>
      <c r="L120" s="2"/>
    </row>
    <row r="121" spans="1:12" ht="194.4">
      <c r="A121" s="7" t="s">
        <v>6</v>
      </c>
      <c r="B121" s="7" t="s">
        <v>435</v>
      </c>
      <c r="C121" s="8" t="s">
        <v>436</v>
      </c>
      <c r="D121" s="63" t="s">
        <v>60</v>
      </c>
      <c r="E121" s="7" t="s">
        <v>12</v>
      </c>
      <c r="F121" s="7"/>
      <c r="G121" s="74" t="s">
        <v>683</v>
      </c>
      <c r="H121" s="69" t="s">
        <v>167</v>
      </c>
      <c r="I121" s="70">
        <f>IFERROR(VLOOKUP(H121,Dados!$A$1:$B$58,2,0),"")</f>
        <v>6</v>
      </c>
      <c r="J121" s="116">
        <f>VLOOKUP(H121,Dados!$A$2:$E$53,4,0)</f>
        <v>40</v>
      </c>
      <c r="K121" s="89"/>
      <c r="L121" s="2"/>
    </row>
    <row r="122" spans="1:12" ht="102.6">
      <c r="A122" s="27" t="s">
        <v>120</v>
      </c>
      <c r="B122" s="27" t="s">
        <v>437</v>
      </c>
      <c r="C122" s="27" t="s">
        <v>438</v>
      </c>
      <c r="D122" s="42" t="s">
        <v>60</v>
      </c>
      <c r="E122" s="41" t="s">
        <v>94</v>
      </c>
      <c r="F122" s="27"/>
      <c r="G122" s="39" t="s">
        <v>567</v>
      </c>
      <c r="H122" s="27" t="s">
        <v>172</v>
      </c>
      <c r="I122" s="65">
        <f>IFERROR(VLOOKUP(H122,Dados!$A$1:$B$58,2,0),"")</f>
        <v>15</v>
      </c>
      <c r="J122" s="116">
        <f>VLOOKUP(H122,Dados!$A$2:$E$53,4,0)</f>
        <v>100</v>
      </c>
      <c r="K122" s="90"/>
      <c r="L122" s="2"/>
    </row>
    <row r="123" spans="1:12" ht="61.8">
      <c r="A123" s="30" t="s">
        <v>452</v>
      </c>
      <c r="B123" s="27" t="s">
        <v>439</v>
      </c>
      <c r="C123" s="27" t="s">
        <v>440</v>
      </c>
      <c r="D123" s="42" t="s">
        <v>3</v>
      </c>
      <c r="E123" s="41" t="s">
        <v>154</v>
      </c>
      <c r="F123" s="27"/>
      <c r="G123" s="39" t="s">
        <v>527</v>
      </c>
      <c r="H123" s="27" t="s">
        <v>172</v>
      </c>
      <c r="I123" s="65">
        <f>IFERROR(VLOOKUP(H123,Dados!$A$1:$B$58,2,0),"")</f>
        <v>15</v>
      </c>
      <c r="J123" s="116">
        <f>VLOOKUP(H123,Dados!$A$2:$E$53,4,0)</f>
        <v>100</v>
      </c>
      <c r="K123" s="86">
        <f>83600+13520.84+7373+11000+11000+113000</f>
        <v>239493.84</v>
      </c>
      <c r="L123" s="2"/>
    </row>
    <row r="124" spans="1:12" ht="174">
      <c r="A124" s="7" t="s">
        <v>504</v>
      </c>
      <c r="B124" s="7" t="s">
        <v>441</v>
      </c>
      <c r="C124" s="8" t="s">
        <v>442</v>
      </c>
      <c r="D124" s="63" t="s">
        <v>3</v>
      </c>
      <c r="E124" s="7" t="s">
        <v>12</v>
      </c>
      <c r="F124" s="7"/>
      <c r="G124" s="74" t="s">
        <v>777</v>
      </c>
      <c r="H124" s="69" t="s">
        <v>165</v>
      </c>
      <c r="I124" s="70">
        <f>IFERROR(VLOOKUP(H124,Dados!$A$1:$B$58,2,0),"")</f>
        <v>4</v>
      </c>
      <c r="J124" s="116">
        <f>VLOOKUP(H124,Dados!$A$2:$E$53,4,0)</f>
        <v>20</v>
      </c>
      <c r="K124" s="81">
        <v>780000</v>
      </c>
      <c r="L124" s="2"/>
    </row>
    <row r="125" spans="1:12" ht="245.4">
      <c r="A125" s="7" t="s">
        <v>7</v>
      </c>
      <c r="B125" s="7" t="s">
        <v>448</v>
      </c>
      <c r="C125" s="8" t="s">
        <v>449</v>
      </c>
      <c r="D125" s="63" t="s">
        <v>35</v>
      </c>
      <c r="E125" s="7" t="s">
        <v>68</v>
      </c>
      <c r="F125" s="7" t="s">
        <v>627</v>
      </c>
      <c r="G125" s="74" t="s">
        <v>768</v>
      </c>
      <c r="H125" s="69" t="s">
        <v>12</v>
      </c>
      <c r="I125" s="70">
        <f>IFERROR(VLOOKUP(H125,Dados!$A$1:$B$58,2,0),"")</f>
        <v>9</v>
      </c>
      <c r="J125" s="116">
        <f>VLOOKUP(H125,Dados!$A$2:$E$53,4,0)</f>
        <v>70</v>
      </c>
      <c r="K125" s="81">
        <v>131023.36</v>
      </c>
      <c r="L125" s="2"/>
    </row>
    <row r="126" spans="1:12" ht="163.80000000000001">
      <c r="A126" s="27" t="s">
        <v>135</v>
      </c>
      <c r="B126" s="27" t="s">
        <v>453</v>
      </c>
      <c r="C126" s="27" t="s">
        <v>454</v>
      </c>
      <c r="D126" s="42" t="s">
        <v>60</v>
      </c>
      <c r="E126" s="41" t="s">
        <v>94</v>
      </c>
      <c r="F126" s="27" t="s">
        <v>523</v>
      </c>
      <c r="G126" s="39" t="s">
        <v>525</v>
      </c>
      <c r="H126" s="27" t="s">
        <v>172</v>
      </c>
      <c r="I126" s="65">
        <f>IFERROR(VLOOKUP(H126,Dados!$A$1:$B$58,2,0),"")</f>
        <v>15</v>
      </c>
      <c r="J126" s="116">
        <f>VLOOKUP(H126,Dados!$A$2:$E$53,4,0)</f>
        <v>100</v>
      </c>
      <c r="K126" s="90"/>
      <c r="L126" s="2"/>
    </row>
    <row r="127" spans="1:12" ht="184.2">
      <c r="A127" s="7" t="s">
        <v>120</v>
      </c>
      <c r="B127" s="7" t="s">
        <v>528</v>
      </c>
      <c r="C127" s="8" t="s">
        <v>458</v>
      </c>
      <c r="D127" s="63" t="s">
        <v>3</v>
      </c>
      <c r="E127" s="7" t="s">
        <v>161</v>
      </c>
      <c r="F127" s="7" t="s">
        <v>595</v>
      </c>
      <c r="G127" s="74" t="s">
        <v>613</v>
      </c>
      <c r="H127" s="69" t="s">
        <v>172</v>
      </c>
      <c r="I127" s="70">
        <f>IFERROR(VLOOKUP(H127,Dados!$A$1:$B$58,2,0),"")</f>
        <v>15</v>
      </c>
      <c r="J127" s="116">
        <f>VLOOKUP(H127,Dados!$A$2:$E$53,4,0)</f>
        <v>100</v>
      </c>
      <c r="K127" s="91">
        <v>6772</v>
      </c>
      <c r="L127" s="91">
        <v>6772</v>
      </c>
    </row>
    <row r="128" spans="1:12" ht="184.2">
      <c r="A128" s="7" t="s">
        <v>120</v>
      </c>
      <c r="B128" s="7" t="s">
        <v>465</v>
      </c>
      <c r="C128" s="8" t="s">
        <v>482</v>
      </c>
      <c r="D128" s="63" t="s">
        <v>60</v>
      </c>
      <c r="E128" s="7" t="s">
        <v>94</v>
      </c>
      <c r="F128" s="7" t="s">
        <v>571</v>
      </c>
      <c r="G128" s="74" t="s">
        <v>605</v>
      </c>
      <c r="H128" s="69" t="s">
        <v>172</v>
      </c>
      <c r="I128" s="70">
        <f>IFERROR(VLOOKUP(H128,Dados!$A$1:$B$58,2,0),"")</f>
        <v>15</v>
      </c>
      <c r="J128" s="116">
        <f>VLOOKUP(H128,Dados!$A$2:$E$53,4,0)</f>
        <v>100</v>
      </c>
      <c r="K128" s="92">
        <v>28000</v>
      </c>
      <c r="L128" s="96">
        <v>28000</v>
      </c>
    </row>
    <row r="129" spans="1:12" ht="112.8">
      <c r="A129" s="30" t="s">
        <v>135</v>
      </c>
      <c r="B129" s="27" t="s">
        <v>466</v>
      </c>
      <c r="C129" s="27" t="s">
        <v>467</v>
      </c>
      <c r="D129" s="42" t="s">
        <v>468</v>
      </c>
      <c r="E129" s="41" t="s">
        <v>161</v>
      </c>
      <c r="F129" s="27"/>
      <c r="G129" s="39" t="s">
        <v>569</v>
      </c>
      <c r="H129" s="27" t="s">
        <v>172</v>
      </c>
      <c r="I129" s="65">
        <f>IFERROR(VLOOKUP(H129,Dados!$A$1:$B$58,2,0),"")</f>
        <v>15</v>
      </c>
      <c r="J129" s="116">
        <f>VLOOKUP(H129,Dados!$A$2:$E$53,4,0)</f>
        <v>100</v>
      </c>
      <c r="K129" s="90"/>
      <c r="L129" s="2"/>
    </row>
    <row r="130" spans="1:12" ht="153.6">
      <c r="A130" s="7" t="s">
        <v>464</v>
      </c>
      <c r="B130" s="7" t="s">
        <v>470</v>
      </c>
      <c r="C130" s="8" t="s">
        <v>303</v>
      </c>
      <c r="D130" s="63" t="s">
        <v>304</v>
      </c>
      <c r="E130" s="7" t="s">
        <v>12</v>
      </c>
      <c r="F130" s="62" t="s">
        <v>574</v>
      </c>
      <c r="G130" s="74" t="s">
        <v>703</v>
      </c>
      <c r="H130" s="69" t="s">
        <v>172</v>
      </c>
      <c r="I130" s="70">
        <f>IFERROR(VLOOKUP(H130,Dados!$A$1:$B$58,2,0),"")</f>
        <v>15</v>
      </c>
      <c r="J130" s="116">
        <f>VLOOKUP(H130,Dados!$A$2:$E$53,4,0)</f>
        <v>100</v>
      </c>
      <c r="K130" s="84">
        <v>9000</v>
      </c>
      <c r="L130" s="2"/>
    </row>
    <row r="131" spans="1:12" ht="133.19999999999999">
      <c r="A131" s="30" t="s">
        <v>120</v>
      </c>
      <c r="B131" s="27" t="s">
        <v>472</v>
      </c>
      <c r="C131" s="27" t="s">
        <v>473</v>
      </c>
      <c r="D131" s="42" t="s">
        <v>60</v>
      </c>
      <c r="E131" s="41" t="s">
        <v>94</v>
      </c>
      <c r="F131" s="27" t="s">
        <v>340</v>
      </c>
      <c r="G131" s="39" t="s">
        <v>526</v>
      </c>
      <c r="H131" s="27" t="s">
        <v>172</v>
      </c>
      <c r="I131" s="65">
        <f>IFERROR(VLOOKUP(H131,Dados!$A$1:$B$58,2,0),"")</f>
        <v>15</v>
      </c>
      <c r="J131" s="116">
        <f>VLOOKUP(H131,Dados!$A$2:$E$53,4,0)</f>
        <v>100</v>
      </c>
      <c r="K131" s="90"/>
      <c r="L131" s="2"/>
    </row>
    <row r="132" spans="1:12" ht="102.6">
      <c r="A132" s="30" t="s">
        <v>135</v>
      </c>
      <c r="B132" s="30" t="s">
        <v>474</v>
      </c>
      <c r="C132" s="27" t="s">
        <v>475</v>
      </c>
      <c r="D132" s="42" t="s">
        <v>60</v>
      </c>
      <c r="E132" s="41" t="s">
        <v>94</v>
      </c>
      <c r="F132" s="30" t="s">
        <v>516</v>
      </c>
      <c r="G132" s="39" t="s">
        <v>515</v>
      </c>
      <c r="H132" s="27" t="s">
        <v>172</v>
      </c>
      <c r="I132" s="65">
        <f>IFERROR(VLOOKUP(H132,Dados!$A$1:$B$58,2,0),"")</f>
        <v>15</v>
      </c>
      <c r="J132" s="116">
        <f>VLOOKUP(H132,Dados!$A$2:$E$53,4,0)</f>
        <v>100</v>
      </c>
      <c r="K132" s="90"/>
      <c r="L132" s="2"/>
    </row>
    <row r="133" spans="1:12" ht="153.6">
      <c r="A133" s="7" t="s">
        <v>504</v>
      </c>
      <c r="B133" s="7" t="s">
        <v>476</v>
      </c>
      <c r="C133" s="8" t="s">
        <v>477</v>
      </c>
      <c r="D133" s="63" t="s">
        <v>72</v>
      </c>
      <c r="E133" s="7" t="s">
        <v>94</v>
      </c>
      <c r="F133" s="7"/>
      <c r="G133" s="74" t="s">
        <v>650</v>
      </c>
      <c r="H133" s="69" t="s">
        <v>167</v>
      </c>
      <c r="I133" s="70">
        <f>IFERROR(VLOOKUP(H133,Dados!$A$1:$B$58,2,0),"")</f>
        <v>6</v>
      </c>
      <c r="J133" s="116">
        <f>VLOOKUP(H133,Dados!$A$2:$E$53,4,0)</f>
        <v>40</v>
      </c>
      <c r="K133" s="92">
        <v>286469.27</v>
      </c>
      <c r="L133" s="2"/>
    </row>
    <row r="134" spans="1:12" ht="102.6">
      <c r="A134" s="30" t="s">
        <v>504</v>
      </c>
      <c r="B134" s="30" t="s">
        <v>478</v>
      </c>
      <c r="C134" s="27" t="s">
        <v>479</v>
      </c>
      <c r="D134" s="42" t="s">
        <v>132</v>
      </c>
      <c r="E134" s="41" t="s">
        <v>154</v>
      </c>
      <c r="F134" s="27"/>
      <c r="G134" s="39" t="s">
        <v>575</v>
      </c>
      <c r="H134" s="27" t="s">
        <v>172</v>
      </c>
      <c r="I134" s="65">
        <f>IFERROR(VLOOKUP(H134,Dados!$A$1:$B$58,2,0),"")</f>
        <v>15</v>
      </c>
      <c r="J134" s="116">
        <f>VLOOKUP(H134,Dados!$A$2:$E$53,4,0)</f>
        <v>100</v>
      </c>
      <c r="K134" s="90"/>
      <c r="L134" s="2"/>
    </row>
    <row r="135" spans="1:12" ht="194.4">
      <c r="A135" s="7" t="s">
        <v>6</v>
      </c>
      <c r="B135" s="7" t="s">
        <v>480</v>
      </c>
      <c r="C135" s="8" t="s">
        <v>481</v>
      </c>
      <c r="D135" s="63" t="s">
        <v>132</v>
      </c>
      <c r="E135" s="7" t="s">
        <v>12</v>
      </c>
      <c r="F135" s="7" t="s">
        <v>794</v>
      </c>
      <c r="G135" s="74" t="s">
        <v>809</v>
      </c>
      <c r="H135" s="69" t="s">
        <v>166</v>
      </c>
      <c r="I135" s="70">
        <f>IFERROR(VLOOKUP(H135,Dados!$A$1:$B$58,2,0),"")</f>
        <v>5</v>
      </c>
      <c r="J135" s="116">
        <f>VLOOKUP(H135,Dados!$A$2:$E$53,4,0)</f>
        <v>30</v>
      </c>
      <c r="K135" s="81">
        <v>90292.38</v>
      </c>
      <c r="L135" s="2"/>
    </row>
    <row r="136" spans="1:12" ht="91.8">
      <c r="A136" s="7" t="s">
        <v>120</v>
      </c>
      <c r="B136" s="7" t="s">
        <v>484</v>
      </c>
      <c r="C136" s="27" t="s">
        <v>485</v>
      </c>
      <c r="D136" s="42" t="s">
        <v>60</v>
      </c>
      <c r="E136" s="30" t="s">
        <v>94</v>
      </c>
      <c r="F136" s="27" t="s">
        <v>283</v>
      </c>
      <c r="G136" s="41" t="s">
        <v>495</v>
      </c>
      <c r="H136" s="27" t="s">
        <v>172</v>
      </c>
      <c r="I136" s="65">
        <f>IFERROR(VLOOKUP(H136,Dados!$A$1:$B$58,2,0),"")</f>
        <v>15</v>
      </c>
      <c r="J136" s="116">
        <f>VLOOKUP(H136,Dados!$A$2:$E$53,4,0)</f>
        <v>100</v>
      </c>
      <c r="K136" s="90"/>
      <c r="L136" s="2"/>
    </row>
    <row r="137" spans="1:12" ht="112.2">
      <c r="A137" s="30" t="s">
        <v>135</v>
      </c>
      <c r="B137" s="30" t="s">
        <v>486</v>
      </c>
      <c r="C137" s="27" t="s">
        <v>487</v>
      </c>
      <c r="D137" s="42" t="s">
        <v>60</v>
      </c>
      <c r="E137" s="30" t="s">
        <v>94</v>
      </c>
      <c r="F137" s="30" t="s">
        <v>324</v>
      </c>
      <c r="G137" s="41" t="s">
        <v>514</v>
      </c>
      <c r="H137" s="27" t="s">
        <v>172</v>
      </c>
      <c r="I137" s="65">
        <f>IFERROR(VLOOKUP(H137,Dados!$A$1:$B$58,2,0),"")</f>
        <v>15</v>
      </c>
      <c r="J137" s="116">
        <f>VLOOKUP(H137,Dados!$A$2:$E$53,4,0)</f>
        <v>100</v>
      </c>
      <c r="K137" s="90"/>
      <c r="L137" s="2"/>
    </row>
    <row r="138" spans="1:12" ht="71.400000000000006">
      <c r="A138" s="30" t="s">
        <v>120</v>
      </c>
      <c r="B138" s="30" t="s">
        <v>488</v>
      </c>
      <c r="C138" s="27" t="s">
        <v>489</v>
      </c>
      <c r="D138" s="42" t="s">
        <v>60</v>
      </c>
      <c r="E138" s="30" t="s">
        <v>94</v>
      </c>
      <c r="F138" s="27" t="s">
        <v>451</v>
      </c>
      <c r="G138" s="41" t="s">
        <v>494</v>
      </c>
      <c r="H138" s="27" t="s">
        <v>172</v>
      </c>
      <c r="I138" s="65">
        <f>IFERROR(VLOOKUP(H138,Dados!$A$1:$B$58,2,0),"")</f>
        <v>15</v>
      </c>
      <c r="J138" s="116">
        <f>VLOOKUP(H138,Dados!$A$2:$E$53,4,0)</f>
        <v>100</v>
      </c>
      <c r="K138" s="90"/>
      <c r="L138" s="2"/>
    </row>
    <row r="139" spans="1:12" ht="142.80000000000001">
      <c r="A139" s="7" t="s">
        <v>504</v>
      </c>
      <c r="B139" s="7" t="s">
        <v>496</v>
      </c>
      <c r="C139" s="8" t="s">
        <v>505</v>
      </c>
      <c r="D139" s="63" t="s">
        <v>3</v>
      </c>
      <c r="E139" s="7" t="s">
        <v>68</v>
      </c>
      <c r="F139" s="7"/>
      <c r="G139" s="76" t="s">
        <v>678</v>
      </c>
      <c r="H139" s="69" t="s">
        <v>167</v>
      </c>
      <c r="I139" s="70">
        <f>IFERROR(VLOOKUP(H139,Dados!$A$1:$B$58,2,0),"")</f>
        <v>6</v>
      </c>
      <c r="J139" s="116">
        <f>VLOOKUP(H139,Dados!$A$2:$E$53,4,0)</f>
        <v>40</v>
      </c>
      <c r="K139" s="81">
        <v>4671393.49</v>
      </c>
      <c r="L139" s="2"/>
    </row>
    <row r="140" spans="1:12" ht="132.6">
      <c r="A140" s="30" t="s">
        <v>135</v>
      </c>
      <c r="B140" s="30" t="s">
        <v>497</v>
      </c>
      <c r="C140" s="27" t="s">
        <v>498</v>
      </c>
      <c r="D140" s="42" t="s">
        <v>60</v>
      </c>
      <c r="E140" s="30" t="s">
        <v>94</v>
      </c>
      <c r="F140" s="27" t="s">
        <v>462</v>
      </c>
      <c r="G140" s="41" t="s">
        <v>543</v>
      </c>
      <c r="H140" s="27" t="s">
        <v>172</v>
      </c>
      <c r="I140" s="65">
        <f>IFERROR(VLOOKUP(H140,Dados!$A$1:$B$58,2,0),"")</f>
        <v>15</v>
      </c>
      <c r="J140" s="116">
        <f>VLOOKUP(H140,Dados!$A$2:$E$53,4,0)</f>
        <v>100</v>
      </c>
      <c r="K140" s="90"/>
      <c r="L140" s="2"/>
    </row>
    <row r="141" spans="1:12" ht="153">
      <c r="A141" s="30" t="s">
        <v>120</v>
      </c>
      <c r="B141" s="30" t="s">
        <v>499</v>
      </c>
      <c r="C141" s="27" t="s">
        <v>500</v>
      </c>
      <c r="D141" s="42" t="s">
        <v>60</v>
      </c>
      <c r="E141" s="30" t="s">
        <v>94</v>
      </c>
      <c r="F141" s="27" t="s">
        <v>541</v>
      </c>
      <c r="G141" s="41" t="s">
        <v>544</v>
      </c>
      <c r="H141" s="27" t="s">
        <v>172</v>
      </c>
      <c r="I141" s="65">
        <f>IFERROR(VLOOKUP(H141,Dados!$A$1:$B$58,2,0),"")</f>
        <v>15</v>
      </c>
      <c r="J141" s="116">
        <f>VLOOKUP(H141,Dados!$A$2:$E$53,4,0)</f>
        <v>100</v>
      </c>
      <c r="K141" s="90"/>
      <c r="L141" s="2"/>
    </row>
    <row r="142" spans="1:12" ht="142.80000000000001">
      <c r="A142" s="30" t="s">
        <v>135</v>
      </c>
      <c r="B142" s="30" t="s">
        <v>501</v>
      </c>
      <c r="C142" s="27" t="s">
        <v>502</v>
      </c>
      <c r="D142" s="42" t="s">
        <v>60</v>
      </c>
      <c r="E142" s="30" t="s">
        <v>94</v>
      </c>
      <c r="F142" s="30" t="s">
        <v>513</v>
      </c>
      <c r="G142" s="41" t="s">
        <v>512</v>
      </c>
      <c r="H142" s="27" t="s">
        <v>172</v>
      </c>
      <c r="I142" s="65">
        <f>IFERROR(VLOOKUP(H142,Dados!$A$1:$B$58,2,0),"")</f>
        <v>15</v>
      </c>
      <c r="J142" s="116">
        <f>VLOOKUP(H142,Dados!$A$2:$E$53,4,0)</f>
        <v>100</v>
      </c>
      <c r="K142" s="90"/>
      <c r="L142" s="2"/>
    </row>
    <row r="143" spans="1:12" ht="122.4">
      <c r="A143" s="7" t="s">
        <v>6</v>
      </c>
      <c r="B143" s="7" t="s">
        <v>507</v>
      </c>
      <c r="C143" s="8" t="s">
        <v>508</v>
      </c>
      <c r="D143" s="63" t="s">
        <v>509</v>
      </c>
      <c r="E143" s="7" t="s">
        <v>12</v>
      </c>
      <c r="F143" s="7"/>
      <c r="G143" s="76" t="s">
        <v>641</v>
      </c>
      <c r="H143" s="69" t="s">
        <v>165</v>
      </c>
      <c r="I143" s="70">
        <f>IFERROR(VLOOKUP(H143,Dados!$A$1:$B$58,2,0),"")</f>
        <v>4</v>
      </c>
      <c r="J143" s="116">
        <f>VLOOKUP(H143,Dados!$A$2:$E$53,4,0)</f>
        <v>20</v>
      </c>
      <c r="K143" s="89"/>
      <c r="L143" s="2"/>
    </row>
    <row r="144" spans="1:12" ht="143.4">
      <c r="A144" s="7" t="s">
        <v>452</v>
      </c>
      <c r="B144" s="7" t="s">
        <v>521</v>
      </c>
      <c r="C144" s="8" t="s">
        <v>522</v>
      </c>
      <c r="D144" s="63" t="s">
        <v>100</v>
      </c>
      <c r="E144" s="7" t="s">
        <v>12</v>
      </c>
      <c r="F144" s="7"/>
      <c r="G144" s="74" t="s">
        <v>805</v>
      </c>
      <c r="H144" s="69" t="s">
        <v>165</v>
      </c>
      <c r="I144" s="70">
        <f>IFERROR(VLOOKUP(H144,Dados!$A$1:$B$58,2,0),"")</f>
        <v>4</v>
      </c>
      <c r="J144" s="116">
        <f>VLOOKUP(H144,Dados!$A$2:$E$53,4,0)</f>
        <v>20</v>
      </c>
      <c r="K144" s="89"/>
      <c r="L144" s="2"/>
    </row>
    <row r="145" spans="1:12" ht="112.2">
      <c r="A145" s="7" t="s">
        <v>452</v>
      </c>
      <c r="B145" s="7" t="s">
        <v>519</v>
      </c>
      <c r="C145" s="8" t="s">
        <v>520</v>
      </c>
      <c r="D145" s="63" t="s">
        <v>3</v>
      </c>
      <c r="E145" s="7" t="s">
        <v>68</v>
      </c>
      <c r="F145" s="7"/>
      <c r="G145" s="76" t="s">
        <v>677</v>
      </c>
      <c r="H145" s="69" t="s">
        <v>167</v>
      </c>
      <c r="I145" s="70">
        <f>IFERROR(VLOOKUP(H145,Dados!$A$1:$B$58,2,0),"")</f>
        <v>6</v>
      </c>
      <c r="J145" s="116">
        <f>VLOOKUP(H145,Dados!$A$2:$E$53,4,0)</f>
        <v>40</v>
      </c>
      <c r="K145" s="89"/>
      <c r="L145" s="2"/>
    </row>
    <row r="146" spans="1:12" ht="112.8">
      <c r="A146" s="7" t="s">
        <v>452</v>
      </c>
      <c r="B146" s="7" t="s">
        <v>517</v>
      </c>
      <c r="C146" s="8" t="s">
        <v>518</v>
      </c>
      <c r="D146" s="63" t="s">
        <v>60</v>
      </c>
      <c r="E146" s="7" t="s">
        <v>12</v>
      </c>
      <c r="F146" s="7"/>
      <c r="G146" s="74" t="s">
        <v>772</v>
      </c>
      <c r="H146" s="69" t="s">
        <v>165</v>
      </c>
      <c r="I146" s="70">
        <f>IFERROR(VLOOKUP(H146,Dados!$A$1:$B$58,2,0),"")</f>
        <v>4</v>
      </c>
      <c r="J146" s="116">
        <f>VLOOKUP(H146,Dados!$A$2:$E$53,4,0)</f>
        <v>20</v>
      </c>
      <c r="K146" s="89"/>
      <c r="L146" s="2"/>
    </row>
    <row r="147" spans="1:12" ht="214.8">
      <c r="A147" s="7" t="s">
        <v>504</v>
      </c>
      <c r="B147" s="7" t="s">
        <v>529</v>
      </c>
      <c r="C147" s="8" t="s">
        <v>532</v>
      </c>
      <c r="D147" s="63" t="s">
        <v>72</v>
      </c>
      <c r="E147" s="7" t="s">
        <v>94</v>
      </c>
      <c r="F147" s="7"/>
      <c r="G147" s="74" t="s">
        <v>783</v>
      </c>
      <c r="H147" s="69" t="s">
        <v>165</v>
      </c>
      <c r="I147" s="70">
        <f>IFERROR(VLOOKUP(H147,Dados!$A$1:$B$58,2,0),"")</f>
        <v>4</v>
      </c>
      <c r="J147" s="116">
        <f>VLOOKUP(H147,Dados!$A$2:$E$53,4,0)</f>
        <v>20</v>
      </c>
      <c r="K147" s="92">
        <v>316530</v>
      </c>
      <c r="L147" s="2"/>
    </row>
    <row r="148" spans="1:12" ht="132.6">
      <c r="A148" s="7" t="s">
        <v>120</v>
      </c>
      <c r="B148" s="7" t="s">
        <v>530</v>
      </c>
      <c r="C148" s="8" t="s">
        <v>531</v>
      </c>
      <c r="D148" s="63" t="s">
        <v>60</v>
      </c>
      <c r="E148" s="7" t="s">
        <v>94</v>
      </c>
      <c r="F148" s="7" t="s">
        <v>572</v>
      </c>
      <c r="G148" s="76" t="s">
        <v>628</v>
      </c>
      <c r="H148" s="69" t="s">
        <v>172</v>
      </c>
      <c r="I148" s="70">
        <f>IFERROR(VLOOKUP(H148,Dados!$A$1:$B$58,2,0),"")</f>
        <v>15</v>
      </c>
      <c r="J148" s="116">
        <f>VLOOKUP(H148,Dados!$A$2:$E$53,4,0)</f>
        <v>100</v>
      </c>
      <c r="K148" s="92">
        <v>4725</v>
      </c>
      <c r="L148" s="92">
        <v>4725</v>
      </c>
    </row>
    <row r="149" spans="1:12" ht="132.6">
      <c r="A149" s="7" t="s">
        <v>120</v>
      </c>
      <c r="B149" s="7" t="s">
        <v>534</v>
      </c>
      <c r="C149" s="8" t="s">
        <v>535</v>
      </c>
      <c r="D149" s="63" t="s">
        <v>72</v>
      </c>
      <c r="E149" s="7" t="s">
        <v>94</v>
      </c>
      <c r="F149" s="7"/>
      <c r="G149" s="76" t="s">
        <v>785</v>
      </c>
      <c r="H149" s="69" t="s">
        <v>165</v>
      </c>
      <c r="I149" s="70">
        <f>IFERROR(VLOOKUP(H149,Dados!$A$1:$B$58,2,0),"")</f>
        <v>4</v>
      </c>
      <c r="J149" s="116">
        <f>VLOOKUP(H149,Dados!$A$2:$E$53,4,0)</f>
        <v>20</v>
      </c>
      <c r="K149" s="92">
        <v>45223.76</v>
      </c>
      <c r="L149" s="2"/>
    </row>
    <row r="150" spans="1:12" ht="173.4">
      <c r="A150" s="7" t="s">
        <v>750</v>
      </c>
      <c r="B150" s="7" t="s">
        <v>536</v>
      </c>
      <c r="C150" s="8" t="s">
        <v>537</v>
      </c>
      <c r="D150" s="63" t="s">
        <v>3</v>
      </c>
      <c r="E150" s="7" t="s">
        <v>12</v>
      </c>
      <c r="F150" s="7" t="s">
        <v>735</v>
      </c>
      <c r="G150" s="76" t="s">
        <v>734</v>
      </c>
      <c r="H150" s="69" t="s">
        <v>542</v>
      </c>
      <c r="I150" s="70">
        <f>IFERROR(VLOOKUP(H150,Dados!$A$1:$B$58,2,0),"")</f>
        <v>9</v>
      </c>
      <c r="J150" s="116">
        <f>VLOOKUP(H150,Dados!$A$2:$E$53,4,0)</f>
        <v>70</v>
      </c>
      <c r="K150" s="81">
        <v>101297.16</v>
      </c>
      <c r="L150" s="2"/>
    </row>
    <row r="151" spans="1:12" ht="112.2">
      <c r="A151" s="7" t="s">
        <v>504</v>
      </c>
      <c r="B151" s="7" t="s">
        <v>539</v>
      </c>
      <c r="C151" s="8" t="s">
        <v>540</v>
      </c>
      <c r="D151" s="63" t="s">
        <v>35</v>
      </c>
      <c r="E151" s="7" t="s">
        <v>68</v>
      </c>
      <c r="F151" s="7"/>
      <c r="G151" s="76" t="s">
        <v>706</v>
      </c>
      <c r="H151" s="69" t="s">
        <v>167</v>
      </c>
      <c r="I151" s="70">
        <f>IFERROR(VLOOKUP(H151,Dados!$A$1:$B$58,2,0),"")</f>
        <v>6</v>
      </c>
      <c r="J151" s="116">
        <f>VLOOKUP(H151,Dados!$A$2:$E$53,4,0)</f>
        <v>40</v>
      </c>
      <c r="K151" s="81">
        <v>87475.69</v>
      </c>
      <c r="L151" s="2"/>
    </row>
    <row r="152" spans="1:12" ht="102">
      <c r="A152" s="7" t="s">
        <v>504</v>
      </c>
      <c r="B152" s="7" t="s">
        <v>545</v>
      </c>
      <c r="C152" s="8" t="s">
        <v>546</v>
      </c>
      <c r="D152" s="63" t="s">
        <v>24</v>
      </c>
      <c r="E152" s="7" t="s">
        <v>161</v>
      </c>
      <c r="F152" s="7"/>
      <c r="G152" s="76" t="s">
        <v>788</v>
      </c>
      <c r="H152" s="69" t="s">
        <v>761</v>
      </c>
      <c r="I152" s="70">
        <f>IFERROR(VLOOKUP(H152,Dados!$A$1:$B$58,2,0),"")</f>
        <v>8</v>
      </c>
      <c r="J152" s="116">
        <f>VLOOKUP(H152,Dados!$A$2:$E$53,4,0)</f>
        <v>60</v>
      </c>
      <c r="K152" s="83">
        <v>567.35</v>
      </c>
      <c r="L152" s="2"/>
    </row>
    <row r="153" spans="1:12" ht="91.8">
      <c r="A153" s="30" t="s">
        <v>120</v>
      </c>
      <c r="B153" s="30" t="s">
        <v>549</v>
      </c>
      <c r="C153" s="27" t="s">
        <v>550</v>
      </c>
      <c r="D153" s="42" t="s">
        <v>60</v>
      </c>
      <c r="E153" s="30" t="s">
        <v>94</v>
      </c>
      <c r="F153" s="27" t="s">
        <v>295</v>
      </c>
      <c r="G153" s="41" t="s">
        <v>580</v>
      </c>
      <c r="H153" s="27" t="s">
        <v>172</v>
      </c>
      <c r="I153" s="65">
        <f>IFERROR(VLOOKUP(H153,Dados!$A$1:$B$58,2,0),"")</f>
        <v>15</v>
      </c>
      <c r="J153" s="116">
        <f>VLOOKUP(H153,Dados!$A$2:$E$53,4,0)</f>
        <v>100</v>
      </c>
      <c r="K153" s="90"/>
      <c r="L153" s="2"/>
    </row>
    <row r="154" spans="1:12" ht="112.2">
      <c r="A154" s="30" t="s">
        <v>120</v>
      </c>
      <c r="B154" s="30" t="s">
        <v>551</v>
      </c>
      <c r="C154" s="27" t="s">
        <v>552</v>
      </c>
      <c r="D154" s="42" t="s">
        <v>60</v>
      </c>
      <c r="E154" s="30" t="s">
        <v>94</v>
      </c>
      <c r="F154" s="27" t="s">
        <v>450</v>
      </c>
      <c r="G154" s="41" t="s">
        <v>577</v>
      </c>
      <c r="H154" s="27" t="s">
        <v>172</v>
      </c>
      <c r="I154" s="65">
        <f>IFERROR(VLOOKUP(H154,Dados!$A$1:$B$58,2,0),"")</f>
        <v>15</v>
      </c>
      <c r="J154" s="116">
        <f>VLOOKUP(H154,Dados!$A$2:$E$53,4,0)</f>
        <v>100</v>
      </c>
      <c r="K154" s="90"/>
      <c r="L154" s="2"/>
    </row>
    <row r="155" spans="1:12" ht="91.8">
      <c r="A155" s="30" t="s">
        <v>120</v>
      </c>
      <c r="B155" s="30" t="s">
        <v>553</v>
      </c>
      <c r="C155" s="27" t="s">
        <v>554</v>
      </c>
      <c r="D155" s="42" t="s">
        <v>60</v>
      </c>
      <c r="E155" s="30" t="s">
        <v>94</v>
      </c>
      <c r="F155" s="27" t="s">
        <v>300</v>
      </c>
      <c r="G155" s="41" t="s">
        <v>579</v>
      </c>
      <c r="H155" s="27" t="s">
        <v>172</v>
      </c>
      <c r="I155" s="65">
        <f>IFERROR(VLOOKUP(H155,Dados!$A$1:$B$58,2,0),"")</f>
        <v>15</v>
      </c>
      <c r="J155" s="116">
        <f>VLOOKUP(H155,Dados!$A$2:$E$53,4,0)</f>
        <v>100</v>
      </c>
      <c r="K155" s="90"/>
      <c r="L155" s="2"/>
    </row>
    <row r="156" spans="1:12" ht="102">
      <c r="A156" s="30" t="s">
        <v>120</v>
      </c>
      <c r="B156" s="30" t="s">
        <v>555</v>
      </c>
      <c r="C156" s="27" t="s">
        <v>556</v>
      </c>
      <c r="D156" s="42" t="s">
        <v>60</v>
      </c>
      <c r="E156" s="30" t="s">
        <v>94</v>
      </c>
      <c r="F156" s="27" t="s">
        <v>312</v>
      </c>
      <c r="G156" s="41" t="s">
        <v>578</v>
      </c>
      <c r="H156" s="27" t="s">
        <v>172</v>
      </c>
      <c r="I156" s="65">
        <f>IFERROR(VLOOKUP(H156,Dados!$A$1:$B$58,2,0),"")</f>
        <v>15</v>
      </c>
      <c r="J156" s="116">
        <f>VLOOKUP(H156,Dados!$A$2:$E$53,4,0)</f>
        <v>100</v>
      </c>
      <c r="K156" s="90"/>
      <c r="L156" s="2"/>
    </row>
    <row r="157" spans="1:12" ht="112.2">
      <c r="A157" s="7" t="s">
        <v>120</v>
      </c>
      <c r="B157" s="7" t="s">
        <v>561</v>
      </c>
      <c r="C157" s="8" t="s">
        <v>231</v>
      </c>
      <c r="D157" s="63" t="s">
        <v>125</v>
      </c>
      <c r="E157" s="7" t="s">
        <v>161</v>
      </c>
      <c r="F157" s="7" t="s">
        <v>717</v>
      </c>
      <c r="G157" s="76" t="s">
        <v>751</v>
      </c>
      <c r="H157" s="69" t="s">
        <v>172</v>
      </c>
      <c r="I157" s="70">
        <f>IFERROR(VLOOKUP(H157,Dados!$A$1:$B$58,2,0),"")</f>
        <v>15</v>
      </c>
      <c r="J157" s="116">
        <f>VLOOKUP(H157,Dados!$A$2:$E$53,4,0)</f>
        <v>100</v>
      </c>
      <c r="K157" s="83">
        <v>220</v>
      </c>
      <c r="L157" s="2"/>
    </row>
    <row r="158" spans="1:12" ht="81.599999999999994">
      <c r="A158" s="7" t="s">
        <v>120</v>
      </c>
      <c r="B158" s="7" t="s">
        <v>563</v>
      </c>
      <c r="C158" s="8" t="s">
        <v>564</v>
      </c>
      <c r="D158" s="63" t="s">
        <v>20</v>
      </c>
      <c r="E158" s="7" t="s">
        <v>138</v>
      </c>
      <c r="F158" s="7" t="s">
        <v>589</v>
      </c>
      <c r="G158" s="76" t="s">
        <v>626</v>
      </c>
      <c r="H158" s="69" t="s">
        <v>172</v>
      </c>
      <c r="I158" s="70">
        <f>IFERROR(VLOOKUP(H158,Dados!$A$1:$B$58,2,0),"")</f>
        <v>15</v>
      </c>
      <c r="J158" s="116">
        <f>VLOOKUP(H158,Dados!$A$2:$E$53,4,0)</f>
        <v>100</v>
      </c>
      <c r="K158" s="83">
        <v>5888.1</v>
      </c>
      <c r="L158" s="83">
        <v>5887.61</v>
      </c>
    </row>
    <row r="159" spans="1:12" ht="102">
      <c r="A159" s="7" t="s">
        <v>452</v>
      </c>
      <c r="B159" s="7" t="s">
        <v>565</v>
      </c>
      <c r="C159" s="8" t="s">
        <v>566</v>
      </c>
      <c r="D159" s="63" t="s">
        <v>3</v>
      </c>
      <c r="E159" s="7" t="s">
        <v>11</v>
      </c>
      <c r="F159" s="7"/>
      <c r="G159" s="76" t="s">
        <v>645</v>
      </c>
      <c r="H159" s="69" t="s">
        <v>167</v>
      </c>
      <c r="I159" s="70">
        <f>IFERROR(VLOOKUP(H159,Dados!$A$1:$B$58,2,0),"")</f>
        <v>6</v>
      </c>
      <c r="J159" s="116">
        <f>VLOOKUP(H159,Dados!$A$2:$E$53,4,0)</f>
        <v>40</v>
      </c>
      <c r="K159" s="83">
        <v>2321720</v>
      </c>
      <c r="L159" s="2"/>
    </row>
    <row r="160" spans="1:12" ht="142.80000000000001">
      <c r="A160" s="7" t="s">
        <v>725</v>
      </c>
      <c r="B160" s="7" t="s">
        <v>568</v>
      </c>
      <c r="C160" s="8" t="s">
        <v>585</v>
      </c>
      <c r="D160" s="63" t="s">
        <v>4</v>
      </c>
      <c r="E160" s="7" t="s">
        <v>12</v>
      </c>
      <c r="F160" s="7" t="s">
        <v>782</v>
      </c>
      <c r="G160" s="76" t="s">
        <v>726</v>
      </c>
      <c r="H160" s="69" t="s">
        <v>12</v>
      </c>
      <c r="I160" s="70">
        <f>IFERROR(VLOOKUP(H160,Dados!$A$1:$B$58,2,0),"")</f>
        <v>9</v>
      </c>
      <c r="J160" s="116">
        <f>VLOOKUP(H160,Dados!$A$2:$E$53,4,0)</f>
        <v>70</v>
      </c>
      <c r="K160" s="81">
        <v>112329.60000000001</v>
      </c>
      <c r="L160" s="2"/>
    </row>
    <row r="161" spans="1:12" ht="183.6">
      <c r="A161" s="7" t="s">
        <v>504</v>
      </c>
      <c r="B161" s="7" t="s">
        <v>581</v>
      </c>
      <c r="C161" s="8" t="s">
        <v>582</v>
      </c>
      <c r="D161" s="63" t="s">
        <v>72</v>
      </c>
      <c r="E161" s="7" t="s">
        <v>94</v>
      </c>
      <c r="F161" s="7"/>
      <c r="G161" s="76" t="s">
        <v>784</v>
      </c>
      <c r="H161" s="69" t="s">
        <v>165</v>
      </c>
      <c r="I161" s="70">
        <f>IFERROR(VLOOKUP(H161,Dados!$A$1:$B$58,2,0),"")</f>
        <v>4</v>
      </c>
      <c r="J161" s="116">
        <f>VLOOKUP(H161,Dados!$A$2:$E$53,4,0)</f>
        <v>20</v>
      </c>
      <c r="K161" s="79">
        <v>42549.36</v>
      </c>
      <c r="L161" s="2"/>
    </row>
    <row r="162" spans="1:12" ht="20.399999999999999">
      <c r="A162" s="7" t="s">
        <v>504</v>
      </c>
      <c r="B162" s="7" t="s">
        <v>587</v>
      </c>
      <c r="C162" s="8" t="s">
        <v>588</v>
      </c>
      <c r="D162" s="63" t="s">
        <v>141</v>
      </c>
      <c r="E162" s="7" t="s">
        <v>138</v>
      </c>
      <c r="F162" s="7"/>
      <c r="G162" s="76" t="s">
        <v>700</v>
      </c>
      <c r="H162" s="69" t="s">
        <v>163</v>
      </c>
      <c r="I162" s="70">
        <f>IFERROR(VLOOKUP(H162,Dados!$A$1:$B$58,2,0),"")</f>
        <v>2</v>
      </c>
      <c r="J162" s="116">
        <f>VLOOKUP(H162,Dados!$A$2:$E$53,4,0)</f>
        <v>10</v>
      </c>
      <c r="K162" s="78">
        <v>593.4</v>
      </c>
      <c r="L162" s="2"/>
    </row>
    <row r="163" spans="1:12" ht="61.2">
      <c r="A163" s="7" t="s">
        <v>120</v>
      </c>
      <c r="B163" s="7" t="s">
        <v>592</v>
      </c>
      <c r="C163" s="8" t="s">
        <v>591</v>
      </c>
      <c r="D163" s="63" t="s">
        <v>60</v>
      </c>
      <c r="E163" s="7" t="s">
        <v>94</v>
      </c>
      <c r="F163" s="7" t="s">
        <v>586</v>
      </c>
      <c r="G163" s="76" t="s">
        <v>629</v>
      </c>
      <c r="H163" s="69" t="s">
        <v>172</v>
      </c>
      <c r="I163" s="70">
        <f>IFERROR(VLOOKUP(H163,Dados!$A$1:$B$58,2,0),"")</f>
        <v>15</v>
      </c>
      <c r="J163" s="116">
        <f>VLOOKUP(H163,Dados!$A$2:$E$53,4,0)</f>
        <v>100</v>
      </c>
      <c r="K163" s="80">
        <v>2250</v>
      </c>
      <c r="L163" s="80">
        <v>2250</v>
      </c>
    </row>
    <row r="164" spans="1:12" ht="91.8">
      <c r="A164" s="7" t="s">
        <v>504</v>
      </c>
      <c r="B164" s="7" t="s">
        <v>593</v>
      </c>
      <c r="C164" s="8" t="s">
        <v>594</v>
      </c>
      <c r="D164" s="63" t="s">
        <v>132</v>
      </c>
      <c r="E164" s="7" t="s">
        <v>68</v>
      </c>
      <c r="F164" s="7"/>
      <c r="G164" s="76" t="s">
        <v>718</v>
      </c>
      <c r="H164" s="69" t="s">
        <v>167</v>
      </c>
      <c r="I164" s="70">
        <f>IFERROR(VLOOKUP(H164,Dados!$A$1:$B$58,2,0),"")</f>
        <v>6</v>
      </c>
      <c r="J164" s="116">
        <f>VLOOKUP(H164,Dados!$A$2:$E$53,4,0)</f>
        <v>40</v>
      </c>
      <c r="K164" s="77">
        <v>278973.09999999998</v>
      </c>
      <c r="L164" s="2"/>
    </row>
    <row r="165" spans="1:12" ht="81.599999999999994">
      <c r="A165" s="7" t="s">
        <v>504</v>
      </c>
      <c r="B165" s="7" t="s">
        <v>598</v>
      </c>
      <c r="C165" s="8" t="s">
        <v>599</v>
      </c>
      <c r="D165" s="63" t="s">
        <v>3</v>
      </c>
      <c r="E165" s="7" t="s">
        <v>11</v>
      </c>
      <c r="F165" s="7"/>
      <c r="G165" s="76" t="s">
        <v>660</v>
      </c>
      <c r="H165" s="69" t="s">
        <v>167</v>
      </c>
      <c r="I165" s="70">
        <f>IFERROR(VLOOKUP(H165,Dados!$A$1:$B$58,2,0),"")</f>
        <v>6</v>
      </c>
      <c r="J165" s="116">
        <f>VLOOKUP(H165,Dados!$A$2:$E$53,4,0)</f>
        <v>40</v>
      </c>
      <c r="K165" s="77">
        <v>2397750</v>
      </c>
      <c r="L165" s="2"/>
    </row>
    <row r="166" spans="1:12" ht="132.6">
      <c r="A166" s="7" t="s">
        <v>452</v>
      </c>
      <c r="B166" s="7" t="s">
        <v>600</v>
      </c>
      <c r="C166" s="8" t="s">
        <v>601</v>
      </c>
      <c r="D166" s="63" t="s">
        <v>3</v>
      </c>
      <c r="E166" s="7" t="s">
        <v>12</v>
      </c>
      <c r="F166" s="7"/>
      <c r="G166" s="76" t="s">
        <v>737</v>
      </c>
      <c r="H166" s="69" t="s">
        <v>166</v>
      </c>
      <c r="I166" s="70">
        <f>IFERROR(VLOOKUP(H166,Dados!$A$1:$B$58,2,0),"")</f>
        <v>5</v>
      </c>
      <c r="J166" s="116">
        <f>VLOOKUP(H166,Dados!$A$2:$E$53,4,0)</f>
        <v>30</v>
      </c>
      <c r="K166" s="77">
        <v>183398.92</v>
      </c>
      <c r="L166" s="2"/>
    </row>
    <row r="167" spans="1:12" ht="81.599999999999994">
      <c r="A167" s="7" t="s">
        <v>7</v>
      </c>
      <c r="B167" s="7" t="s">
        <v>602</v>
      </c>
      <c r="C167" s="8" t="s">
        <v>603</v>
      </c>
      <c r="D167" s="63" t="s">
        <v>4</v>
      </c>
      <c r="E167" s="7" t="s">
        <v>161</v>
      </c>
      <c r="F167" s="7"/>
      <c r="G167" s="76" t="s">
        <v>687</v>
      </c>
      <c r="H167" s="69" t="s">
        <v>165</v>
      </c>
      <c r="I167" s="70">
        <f>IFERROR(VLOOKUP(H167,Dados!$A$1:$B$58,2,0),"")</f>
        <v>4</v>
      </c>
      <c r="J167" s="116">
        <f>VLOOKUP(H167,Dados!$A$2:$E$53,4,0)</f>
        <v>20</v>
      </c>
      <c r="K167" s="77"/>
      <c r="L167" s="2"/>
    </row>
    <row r="168" spans="1:12" ht="102">
      <c r="A168" s="7" t="s">
        <v>504</v>
      </c>
      <c r="B168" s="7" t="s">
        <v>606</v>
      </c>
      <c r="C168" s="8" t="s">
        <v>505</v>
      </c>
      <c r="D168" s="63" t="s">
        <v>3</v>
      </c>
      <c r="E168" s="7" t="s">
        <v>154</v>
      </c>
      <c r="F168" s="7"/>
      <c r="G168" s="76" t="s">
        <v>665</v>
      </c>
      <c r="H168" s="69" t="s">
        <v>172</v>
      </c>
      <c r="I168" s="70">
        <f>IFERROR(VLOOKUP(H168,Dados!$A$1:$B$58,2,0),"")</f>
        <v>15</v>
      </c>
      <c r="J168" s="116">
        <f>VLOOKUP(H168,Dados!$A$2:$E$53,4,0)</f>
        <v>100</v>
      </c>
      <c r="K168" s="77">
        <v>1728000</v>
      </c>
      <c r="L168" s="2"/>
    </row>
    <row r="169" spans="1:12" ht="173.4">
      <c r="A169" s="7" t="s">
        <v>452</v>
      </c>
      <c r="B169" s="7" t="s">
        <v>607</v>
      </c>
      <c r="C169" s="8" t="s">
        <v>620</v>
      </c>
      <c r="D169" s="63" t="s">
        <v>3</v>
      </c>
      <c r="E169" s="7" t="s">
        <v>154</v>
      </c>
      <c r="F169" s="7"/>
      <c r="G169" s="76" t="s">
        <v>732</v>
      </c>
      <c r="H169" s="69" t="s">
        <v>172</v>
      </c>
      <c r="I169" s="70">
        <f>IFERROR(VLOOKUP(H169,Dados!$A$1:$B$58,2,0),"")</f>
        <v>15</v>
      </c>
      <c r="J169" s="116">
        <f>VLOOKUP(H169,Dados!$A$2:$E$53,4,0)</f>
        <v>100</v>
      </c>
      <c r="K169" s="77">
        <v>1375542</v>
      </c>
      <c r="L169" s="99">
        <v>860682</v>
      </c>
    </row>
    <row r="170" spans="1:12" ht="61.2">
      <c r="A170" s="7" t="s">
        <v>504</v>
      </c>
      <c r="B170" s="7" t="s">
        <v>609</v>
      </c>
      <c r="C170" s="8" t="s">
        <v>610</v>
      </c>
      <c r="D170" s="63" t="s">
        <v>3</v>
      </c>
      <c r="E170" s="7" t="s">
        <v>11</v>
      </c>
      <c r="F170" s="7"/>
      <c r="G170" s="76" t="s">
        <v>661</v>
      </c>
      <c r="H170" s="69" t="s">
        <v>167</v>
      </c>
      <c r="I170" s="70">
        <f>IFERROR(VLOOKUP(H170,Dados!$A$1:$B$58,2,0),"")</f>
        <v>6</v>
      </c>
      <c r="J170" s="116">
        <f>VLOOKUP(H170,Dados!$A$2:$E$53,4,0)</f>
        <v>40</v>
      </c>
      <c r="K170" s="77">
        <v>5727000</v>
      </c>
      <c r="L170" s="2"/>
    </row>
    <row r="171" spans="1:12" ht="112.2">
      <c r="A171" s="7" t="s">
        <v>504</v>
      </c>
      <c r="B171" s="7" t="s">
        <v>611</v>
      </c>
      <c r="C171" s="8" t="s">
        <v>728</v>
      </c>
      <c r="D171" s="63" t="s">
        <v>3</v>
      </c>
      <c r="E171" s="7" t="s">
        <v>94</v>
      </c>
      <c r="F171" s="7"/>
      <c r="G171" s="76" t="s">
        <v>762</v>
      </c>
      <c r="H171" s="69" t="s">
        <v>167</v>
      </c>
      <c r="I171" s="70">
        <f>IFERROR(VLOOKUP(H171,Dados!$A$1:$B$58,2,0),"")</f>
        <v>6</v>
      </c>
      <c r="J171" s="116">
        <f>VLOOKUP(H171,Dados!$A$2:$E$53,4,0)</f>
        <v>40</v>
      </c>
      <c r="K171" s="77">
        <v>97119.360000000001</v>
      </c>
      <c r="L171" s="2"/>
    </row>
    <row r="172" spans="1:12" ht="122.4">
      <c r="A172" s="7" t="s">
        <v>120</v>
      </c>
      <c r="B172" s="7" t="s">
        <v>614</v>
      </c>
      <c r="C172" s="8" t="s">
        <v>616</v>
      </c>
      <c r="D172" s="63" t="s">
        <v>60</v>
      </c>
      <c r="E172" s="7" t="s">
        <v>94</v>
      </c>
      <c r="F172" s="7" t="s">
        <v>334</v>
      </c>
      <c r="G172" s="76" t="s">
        <v>669</v>
      </c>
      <c r="H172" s="69" t="s">
        <v>172</v>
      </c>
      <c r="I172" s="70">
        <f>IFERROR(VLOOKUP(H172,Dados!$A$1:$B$58,2,0),"")</f>
        <v>15</v>
      </c>
      <c r="J172" s="116">
        <f>VLOOKUP(H172,Dados!$A$2:$E$53,4,0)</f>
        <v>100</v>
      </c>
      <c r="K172" s="77">
        <v>18465</v>
      </c>
      <c r="L172" s="2"/>
    </row>
    <row r="173" spans="1:12" ht="81.599999999999994">
      <c r="A173" s="7" t="s">
        <v>135</v>
      </c>
      <c r="B173" s="7" t="s">
        <v>615</v>
      </c>
      <c r="C173" s="8" t="s">
        <v>617</v>
      </c>
      <c r="D173" s="63" t="s">
        <v>60</v>
      </c>
      <c r="E173" s="7" t="s">
        <v>94</v>
      </c>
      <c r="F173" s="7" t="s">
        <v>715</v>
      </c>
      <c r="G173" s="76" t="s">
        <v>714</v>
      </c>
      <c r="H173" s="69" t="s">
        <v>172</v>
      </c>
      <c r="I173" s="70">
        <f>IFERROR(VLOOKUP(H173,Dados!$A$1:$B$58,2,0),"")</f>
        <v>15</v>
      </c>
      <c r="J173" s="116">
        <f>VLOOKUP(H173,Dados!$A$2:$E$53,4,0)</f>
        <v>100</v>
      </c>
      <c r="K173" s="77">
        <v>10900</v>
      </c>
      <c r="L173" s="2"/>
    </row>
    <row r="174" spans="1:12" ht="61.2">
      <c r="A174" s="7" t="s">
        <v>120</v>
      </c>
      <c r="B174" s="7" t="s">
        <v>622</v>
      </c>
      <c r="C174" s="8" t="s">
        <v>623</v>
      </c>
      <c r="D174" s="63" t="s">
        <v>60</v>
      </c>
      <c r="E174" s="7" t="s">
        <v>94</v>
      </c>
      <c r="F174" s="7" t="s">
        <v>344</v>
      </c>
      <c r="G174" s="76" t="s">
        <v>667</v>
      </c>
      <c r="H174" s="69" t="s">
        <v>172</v>
      </c>
      <c r="I174" s="70">
        <f>IFERROR(VLOOKUP(H174,Dados!$A$1:$B$58,2,0),"")</f>
        <v>15</v>
      </c>
      <c r="J174" s="116">
        <f>VLOOKUP(H174,Dados!$A$2:$E$53,4,0)</f>
        <v>100</v>
      </c>
      <c r="K174" s="77">
        <v>769</v>
      </c>
      <c r="L174" s="2"/>
    </row>
    <row r="175" spans="1:12" ht="81.599999999999994">
      <c r="A175" s="7" t="s">
        <v>120</v>
      </c>
      <c r="B175" s="7" t="s">
        <v>624</v>
      </c>
      <c r="C175" s="8" t="s">
        <v>625</v>
      </c>
      <c r="D175" s="63" t="s">
        <v>60</v>
      </c>
      <c r="E175" s="7" t="s">
        <v>94</v>
      </c>
      <c r="F175" s="7" t="s">
        <v>329</v>
      </c>
      <c r="G175" s="76" t="s">
        <v>642</v>
      </c>
      <c r="H175" s="69" t="s">
        <v>172</v>
      </c>
      <c r="I175" s="70">
        <f>IFERROR(VLOOKUP(H175,Dados!$A$1:$B$58,2,0),"")</f>
        <v>15</v>
      </c>
      <c r="J175" s="116">
        <f>VLOOKUP(H175,Dados!$A$2:$E$53,4,0)</f>
        <v>100</v>
      </c>
      <c r="K175" s="77">
        <v>33000</v>
      </c>
      <c r="L175" s="2"/>
    </row>
    <row r="176" spans="1:12" ht="71.400000000000006">
      <c r="A176" s="7" t="s">
        <v>504</v>
      </c>
      <c r="B176" s="7" t="s">
        <v>644</v>
      </c>
      <c r="C176" s="8" t="s">
        <v>643</v>
      </c>
      <c r="D176" s="63" t="s">
        <v>3</v>
      </c>
      <c r="E176" s="7" t="s">
        <v>11</v>
      </c>
      <c r="F176" s="7"/>
      <c r="G176" s="76" t="s">
        <v>684</v>
      </c>
      <c r="H176" s="69" t="s">
        <v>167</v>
      </c>
      <c r="I176" s="70">
        <f>IFERROR(VLOOKUP(H176,Dados!$A$1:$B$58,2,0),"")</f>
        <v>6</v>
      </c>
      <c r="J176" s="116">
        <f>VLOOKUP(H176,Dados!$A$2:$E$53,4,0)</f>
        <v>40</v>
      </c>
      <c r="K176" s="83">
        <v>2321720</v>
      </c>
      <c r="L176" s="2"/>
    </row>
    <row r="177" spans="1:16384" ht="71.400000000000006">
      <c r="A177" s="7" t="s">
        <v>504</v>
      </c>
      <c r="B177" s="7" t="s">
        <v>631</v>
      </c>
      <c r="C177" s="8" t="s">
        <v>630</v>
      </c>
      <c r="D177" s="63" t="s">
        <v>141</v>
      </c>
      <c r="E177" s="7" t="s">
        <v>138</v>
      </c>
      <c r="F177" s="7" t="s">
        <v>721</v>
      </c>
      <c r="G177" s="76" t="s">
        <v>720</v>
      </c>
      <c r="H177" s="69" t="s">
        <v>172</v>
      </c>
      <c r="I177" s="70">
        <f>IFERROR(VLOOKUP(H177,Dados!$A$1:$B$58,2,0),"")</f>
        <v>15</v>
      </c>
      <c r="J177" s="116">
        <f>VLOOKUP(H177,Dados!$A$2:$E$53,4,0)</f>
        <v>100</v>
      </c>
      <c r="K177" s="77">
        <v>3999</v>
      </c>
      <c r="L177" s="2"/>
    </row>
    <row r="178" spans="1:16384" ht="91.8">
      <c r="A178" s="7" t="s">
        <v>120</v>
      </c>
      <c r="B178" s="7" t="s">
        <v>632</v>
      </c>
      <c r="C178" s="8" t="s">
        <v>633</v>
      </c>
      <c r="D178" s="63" t="s">
        <v>72</v>
      </c>
      <c r="E178" s="7" t="s">
        <v>94</v>
      </c>
      <c r="F178" s="7"/>
      <c r="G178" s="76" t="s">
        <v>798</v>
      </c>
      <c r="H178" s="69" t="s">
        <v>170</v>
      </c>
      <c r="I178" s="70">
        <f>IFERROR(VLOOKUP(H178,Dados!$A$1:$B$58,2,0),"")</f>
        <v>10</v>
      </c>
      <c r="J178" s="116">
        <f>VLOOKUP(H178,Dados!$A$2:$E$53,4,0)</f>
        <v>80</v>
      </c>
      <c r="K178" s="77">
        <v>8500</v>
      </c>
      <c r="L178" s="2"/>
    </row>
    <row r="179" spans="1:16384" ht="61.2">
      <c r="A179" s="7" t="s">
        <v>120</v>
      </c>
      <c r="B179" s="7" t="s">
        <v>634</v>
      </c>
      <c r="C179" s="8" t="s">
        <v>635</v>
      </c>
      <c r="D179" s="63" t="s">
        <v>60</v>
      </c>
      <c r="E179" s="7" t="s">
        <v>94</v>
      </c>
      <c r="F179" s="7" t="s">
        <v>354</v>
      </c>
      <c r="G179" s="76" t="s">
        <v>704</v>
      </c>
      <c r="H179" s="69" t="s">
        <v>172</v>
      </c>
      <c r="I179" s="70">
        <f>IFERROR(VLOOKUP(H179,Dados!$A$1:$B$58,2,0),"")</f>
        <v>15</v>
      </c>
      <c r="J179" s="116">
        <f>VLOOKUP(H179,Dados!$A$2:$E$53,4,0)</f>
        <v>100</v>
      </c>
      <c r="K179" s="77">
        <v>2701.26</v>
      </c>
      <c r="L179" s="2"/>
    </row>
    <row r="180" spans="1:16384" ht="71.400000000000006">
      <c r="A180" s="7" t="s">
        <v>135</v>
      </c>
      <c r="B180" s="7" t="s">
        <v>636</v>
      </c>
      <c r="C180" s="8" t="s">
        <v>637</v>
      </c>
      <c r="D180" s="63" t="s">
        <v>60</v>
      </c>
      <c r="E180" s="7" t="s">
        <v>94</v>
      </c>
      <c r="F180" s="7" t="s">
        <v>417</v>
      </c>
      <c r="G180" s="76" t="s">
        <v>713</v>
      </c>
      <c r="H180" s="69" t="s">
        <v>172</v>
      </c>
      <c r="I180" s="70">
        <f>IFERROR(VLOOKUP(H180,Dados!$A$1:$B$58,2,0),"")</f>
        <v>15</v>
      </c>
      <c r="J180" s="116">
        <f>VLOOKUP(H180,Dados!$A$2:$E$53,4,0)</f>
        <v>100</v>
      </c>
      <c r="K180" s="77">
        <v>1800</v>
      </c>
      <c r="L180" s="2"/>
    </row>
    <row r="181" spans="1:16384" ht="142.80000000000001">
      <c r="A181" s="7" t="s">
        <v>120</v>
      </c>
      <c r="B181" s="7" t="s">
        <v>638</v>
      </c>
      <c r="C181" s="8" t="s">
        <v>727</v>
      </c>
      <c r="D181" s="63" t="s">
        <v>3</v>
      </c>
      <c r="E181" s="7" t="s">
        <v>94</v>
      </c>
      <c r="F181" s="7" t="s">
        <v>595</v>
      </c>
      <c r="G181" s="76" t="s">
        <v>796</v>
      </c>
      <c r="H181" s="69" t="s">
        <v>172</v>
      </c>
      <c r="I181" s="70">
        <f>IFERROR(VLOOKUP(H181,Dados!$A$1:$B$58,2,0),"")</f>
        <v>15</v>
      </c>
      <c r="J181" s="116">
        <f>VLOOKUP(H181,Dados!$A$2:$E$53,4,0)</f>
        <v>100</v>
      </c>
      <c r="K181" s="77">
        <v>3600</v>
      </c>
      <c r="L181" s="2"/>
    </row>
    <row r="182" spans="1:16384" ht="61.2">
      <c r="A182" s="7" t="s">
        <v>120</v>
      </c>
      <c r="B182" s="7" t="s">
        <v>639</v>
      </c>
      <c r="C182" s="8" t="s">
        <v>640</v>
      </c>
      <c r="D182" s="63" t="s">
        <v>60</v>
      </c>
      <c r="E182" s="7" t="s">
        <v>94</v>
      </c>
      <c r="F182" s="7" t="s">
        <v>576</v>
      </c>
      <c r="G182" s="76" t="s">
        <v>668</v>
      </c>
      <c r="H182" s="69" t="s">
        <v>172</v>
      </c>
      <c r="I182" s="70">
        <f>IFERROR(VLOOKUP(H182,Dados!$A$1:$B$58,2,0),"")</f>
        <v>15</v>
      </c>
      <c r="J182" s="116">
        <f>VLOOKUP(H182,Dados!$A$2:$E$53,4,0)</f>
        <v>100</v>
      </c>
      <c r="K182" s="77">
        <v>600</v>
      </c>
      <c r="L182" s="2"/>
    </row>
    <row r="183" spans="1:16384" ht="81.599999999999994">
      <c r="A183" s="7" t="s">
        <v>120</v>
      </c>
      <c r="B183" s="7" t="s">
        <v>662</v>
      </c>
      <c r="C183" s="8" t="s">
        <v>663</v>
      </c>
      <c r="D183" s="63" t="s">
        <v>35</v>
      </c>
      <c r="E183" s="7" t="s">
        <v>138</v>
      </c>
      <c r="F183" s="7"/>
      <c r="G183" s="76" t="s">
        <v>802</v>
      </c>
      <c r="H183" s="69" t="s">
        <v>170</v>
      </c>
      <c r="I183" s="70">
        <f>IFERROR(VLOOKUP(H183,Dados!$A$1:$B$58,2,0),"")</f>
        <v>10</v>
      </c>
      <c r="J183" s="116">
        <f>VLOOKUP(H183,Dados!$A$2:$E$53,4,0)</f>
        <v>80</v>
      </c>
      <c r="K183" s="83">
        <v>9274.5499999999993</v>
      </c>
      <c r="L183" s="2"/>
    </row>
    <row r="184" spans="1:16384" ht="81.599999999999994">
      <c r="A184" s="7" t="s">
        <v>135</v>
      </c>
      <c r="B184" s="7" t="s">
        <v>646</v>
      </c>
      <c r="C184" s="8" t="s">
        <v>647</v>
      </c>
      <c r="D184" s="63" t="s">
        <v>35</v>
      </c>
      <c r="E184" s="7" t="s">
        <v>138</v>
      </c>
      <c r="F184" s="7"/>
      <c r="G184" s="76" t="s">
        <v>736</v>
      </c>
      <c r="H184" s="69" t="s">
        <v>170</v>
      </c>
      <c r="I184" s="70">
        <f>IFERROR(VLOOKUP(H184,Dados!$A$1:$B$58,2,0),"")</f>
        <v>10</v>
      </c>
      <c r="J184" s="116">
        <f>VLOOKUP(H184,Dados!$A$2:$E$53,4,0)</f>
        <v>80</v>
      </c>
      <c r="K184" s="83">
        <v>16899.650000000001</v>
      </c>
      <c r="L184" s="2"/>
    </row>
    <row r="185" spans="1:16384" ht="91.8">
      <c r="A185" s="7" t="s">
        <v>6</v>
      </c>
      <c r="B185" s="7" t="s">
        <v>648</v>
      </c>
      <c r="C185" s="8" t="s">
        <v>719</v>
      </c>
      <c r="D185" s="63" t="s">
        <v>3</v>
      </c>
      <c r="E185" s="7" t="s">
        <v>12</v>
      </c>
      <c r="F185" s="7"/>
      <c r="G185" s="76" t="s">
        <v>766</v>
      </c>
      <c r="H185" s="69" t="s">
        <v>173</v>
      </c>
      <c r="I185" s="70">
        <f>IFERROR(VLOOKUP(H185,Dados!$A$1:$B$58,2,0),"")</f>
        <v>16</v>
      </c>
      <c r="J185" s="116">
        <f>VLOOKUP(H185,Dados!$A$2:$E$53,4,0)</f>
        <v>0</v>
      </c>
      <c r="K185" s="83">
        <f>20*4238.08</f>
        <v>84761.600000000006</v>
      </c>
      <c r="L185" s="2"/>
    </row>
    <row r="186" spans="1:16384" ht="61.2">
      <c r="A186" s="7" t="s">
        <v>120</v>
      </c>
      <c r="B186" s="7" t="s">
        <v>651</v>
      </c>
      <c r="C186" s="8" t="s">
        <v>654</v>
      </c>
      <c r="D186" s="63" t="s">
        <v>60</v>
      </c>
      <c r="E186" s="7" t="s">
        <v>94</v>
      </c>
      <c r="F186" s="7"/>
      <c r="G186" s="76" t="s">
        <v>760</v>
      </c>
      <c r="H186" s="69" t="s">
        <v>166</v>
      </c>
      <c r="I186" s="70">
        <f>IFERROR(VLOOKUP(H186,Dados!$A$1:$B$58,2,0),"")</f>
        <v>5</v>
      </c>
      <c r="J186" s="116">
        <f>VLOOKUP(H186,Dados!$A$2:$E$53,4,0)</f>
        <v>30</v>
      </c>
      <c r="K186" s="77">
        <v>5580</v>
      </c>
      <c r="L186" s="2"/>
    </row>
    <row r="187" spans="1:16384" ht="71.400000000000006">
      <c r="A187" s="7" t="s">
        <v>135</v>
      </c>
      <c r="B187" s="7" t="s">
        <v>652</v>
      </c>
      <c r="C187" s="8" t="s">
        <v>653</v>
      </c>
      <c r="D187" s="63" t="s">
        <v>60</v>
      </c>
      <c r="E187" s="7" t="s">
        <v>94</v>
      </c>
      <c r="F187" s="7" t="s">
        <v>711</v>
      </c>
      <c r="G187" s="76" t="s">
        <v>710</v>
      </c>
      <c r="H187" s="69" t="s">
        <v>172</v>
      </c>
      <c r="I187" s="70">
        <f>IFERROR(VLOOKUP(H187,Dados!$A$1:$B$58,2,0),"")</f>
        <v>15</v>
      </c>
      <c r="J187" s="116">
        <f>VLOOKUP(H187,Dados!$A$2:$E$53,4,0)</f>
        <v>100</v>
      </c>
      <c r="K187" s="77">
        <v>1215</v>
      </c>
      <c r="L187" s="2"/>
    </row>
    <row r="188" spans="1:16384" ht="91.8">
      <c r="A188" s="7" t="s">
        <v>120</v>
      </c>
      <c r="B188" s="7" t="s">
        <v>655</v>
      </c>
      <c r="C188" s="8" t="s">
        <v>656</v>
      </c>
      <c r="D188" s="63" t="s">
        <v>60</v>
      </c>
      <c r="E188" s="7" t="s">
        <v>94</v>
      </c>
      <c r="F188" s="7" t="s">
        <v>767</v>
      </c>
      <c r="G188" s="76" t="s">
        <v>769</v>
      </c>
      <c r="H188" s="69" t="s">
        <v>172</v>
      </c>
      <c r="I188" s="70">
        <f>IFERROR(VLOOKUP(H188,Dados!$A$1:$B$58,2,0),"")</f>
        <v>15</v>
      </c>
      <c r="J188" s="116">
        <f>VLOOKUP(H188,Dados!$A$2:$E$53,4,0)</f>
        <v>100</v>
      </c>
      <c r="K188" s="77">
        <v>5651.35</v>
      </c>
      <c r="L188" s="2"/>
    </row>
    <row r="189" spans="1:16384" ht="71.400000000000006">
      <c r="A189" s="7" t="s">
        <v>504</v>
      </c>
      <c r="B189" s="7" t="s">
        <v>657</v>
      </c>
      <c r="C189" s="8" t="s">
        <v>658</v>
      </c>
      <c r="D189" s="7" t="s">
        <v>659</v>
      </c>
      <c r="E189" s="7" t="s">
        <v>12</v>
      </c>
      <c r="F189" s="7"/>
      <c r="G189" s="75" t="s">
        <v>753</v>
      </c>
      <c r="H189" s="69" t="s">
        <v>165</v>
      </c>
      <c r="I189" s="70">
        <f>IFERROR(VLOOKUP(H189,Dados!$A$1:$B$58,2,0),"")</f>
        <v>4</v>
      </c>
      <c r="J189" s="116">
        <f>VLOOKUP(H189,Dados!$A$2:$E$53,4,0)</f>
        <v>20</v>
      </c>
      <c r="K189" s="81"/>
      <c r="L189" s="15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16"/>
      <c r="EJ189" s="16"/>
      <c r="EK189" s="16"/>
      <c r="EL189" s="16"/>
      <c r="EM189" s="16"/>
      <c r="EN189" s="16"/>
      <c r="EO189" s="16"/>
      <c r="EP189" s="16"/>
      <c r="EQ189" s="16"/>
      <c r="ER189" s="16"/>
      <c r="ES189" s="16"/>
      <c r="ET189" s="16"/>
      <c r="EU189" s="16"/>
      <c r="EV189" s="16"/>
      <c r="EW189" s="16"/>
      <c r="EX189" s="16"/>
      <c r="EY189" s="16"/>
      <c r="EZ189" s="16"/>
      <c r="FA189" s="16"/>
      <c r="FB189" s="16"/>
      <c r="FC189" s="16"/>
      <c r="FD189" s="16"/>
      <c r="FE189" s="16"/>
      <c r="FF189" s="16"/>
      <c r="FG189" s="16"/>
      <c r="FH189" s="16"/>
      <c r="FI189" s="16"/>
      <c r="FJ189" s="16"/>
      <c r="FK189" s="16"/>
      <c r="FL189" s="16"/>
      <c r="FM189" s="16"/>
      <c r="FN189" s="16"/>
      <c r="FO189" s="16"/>
      <c r="FP189" s="16"/>
      <c r="FQ189" s="16"/>
      <c r="FR189" s="16"/>
      <c r="FS189" s="16"/>
      <c r="FT189" s="16"/>
      <c r="FU189" s="16"/>
      <c r="FV189" s="16"/>
      <c r="FW189" s="16"/>
      <c r="FX189" s="16"/>
      <c r="FY189" s="16"/>
      <c r="FZ189" s="16"/>
      <c r="GA189" s="16"/>
      <c r="GB189" s="16"/>
      <c r="GC189" s="16"/>
      <c r="GD189" s="16"/>
      <c r="GE189" s="16"/>
      <c r="GF189" s="16"/>
      <c r="GG189" s="16"/>
      <c r="GH189" s="16"/>
      <c r="GI189" s="16"/>
      <c r="GJ189" s="16"/>
      <c r="GK189" s="16"/>
      <c r="GL189" s="16"/>
      <c r="GM189" s="16"/>
      <c r="GN189" s="16"/>
      <c r="GO189" s="16"/>
      <c r="GP189" s="16"/>
      <c r="GQ189" s="16"/>
      <c r="GR189" s="16"/>
      <c r="GS189" s="16"/>
      <c r="GT189" s="16"/>
      <c r="GU189" s="16"/>
      <c r="GV189" s="16"/>
      <c r="GW189" s="16"/>
      <c r="GX189" s="16"/>
      <c r="GY189" s="16"/>
      <c r="GZ189" s="16"/>
      <c r="HA189" s="16"/>
      <c r="HB189" s="16"/>
      <c r="HC189" s="16"/>
      <c r="HD189" s="16"/>
      <c r="HE189" s="16"/>
      <c r="HF189" s="16"/>
      <c r="HG189" s="16"/>
      <c r="HH189" s="16"/>
      <c r="HI189" s="16"/>
      <c r="HJ189" s="16"/>
      <c r="HK189" s="16"/>
      <c r="HL189" s="16"/>
      <c r="HM189" s="16"/>
      <c r="HN189" s="16"/>
      <c r="HO189" s="16"/>
      <c r="HP189" s="16"/>
      <c r="HQ189" s="16"/>
      <c r="HR189" s="16"/>
      <c r="HS189" s="16"/>
      <c r="HT189" s="16"/>
      <c r="HU189" s="16"/>
      <c r="HV189" s="16"/>
      <c r="HW189" s="16"/>
      <c r="HX189" s="16"/>
      <c r="HY189" s="16"/>
      <c r="HZ189" s="16"/>
      <c r="IA189" s="16"/>
      <c r="IB189" s="16"/>
      <c r="IC189" s="16"/>
      <c r="ID189" s="16"/>
      <c r="IE189" s="16"/>
      <c r="IF189" s="16"/>
      <c r="IG189" s="16"/>
      <c r="IH189" s="16"/>
      <c r="II189" s="16"/>
      <c r="IJ189" s="16"/>
      <c r="IK189" s="16"/>
      <c r="IL189" s="16"/>
      <c r="IM189" s="16"/>
      <c r="IN189" s="16"/>
      <c r="IO189" s="16"/>
      <c r="IP189" s="16"/>
      <c r="IQ189" s="16"/>
      <c r="IR189" s="16"/>
      <c r="IS189" s="16"/>
      <c r="IT189" s="16"/>
      <c r="IU189" s="16"/>
      <c r="IV189" s="16"/>
      <c r="IW189" s="16"/>
      <c r="IX189" s="16"/>
      <c r="IY189" s="16"/>
      <c r="IZ189" s="16"/>
      <c r="JA189" s="16"/>
      <c r="JB189" s="16"/>
      <c r="JC189" s="16"/>
      <c r="JD189" s="16"/>
      <c r="JE189" s="16"/>
      <c r="JF189" s="16"/>
      <c r="JG189" s="16"/>
      <c r="JH189" s="16"/>
      <c r="JI189" s="16"/>
      <c r="JJ189" s="16"/>
      <c r="JK189" s="16"/>
      <c r="JL189" s="16"/>
      <c r="JM189" s="16"/>
      <c r="JN189" s="16"/>
      <c r="JO189" s="16"/>
      <c r="JP189" s="16"/>
      <c r="JQ189" s="16"/>
      <c r="JR189" s="16"/>
      <c r="JS189" s="16"/>
      <c r="JT189" s="16"/>
      <c r="JU189" s="16"/>
      <c r="JV189" s="16"/>
      <c r="JW189" s="16"/>
      <c r="JX189" s="16"/>
      <c r="JY189" s="16"/>
      <c r="JZ189" s="16"/>
      <c r="KA189" s="16"/>
      <c r="KB189" s="16"/>
      <c r="KC189" s="16"/>
      <c r="KD189" s="16"/>
      <c r="KE189" s="16"/>
      <c r="KF189" s="16"/>
      <c r="KG189" s="16"/>
      <c r="KH189" s="16"/>
      <c r="KI189" s="16"/>
      <c r="KJ189" s="16"/>
      <c r="KK189" s="16"/>
      <c r="KL189" s="16"/>
      <c r="KM189" s="16"/>
      <c r="KN189" s="16"/>
      <c r="KO189" s="16"/>
      <c r="KP189" s="16"/>
      <c r="KQ189" s="16"/>
      <c r="KR189" s="16"/>
      <c r="KS189" s="16"/>
      <c r="KT189" s="16"/>
      <c r="KU189" s="16"/>
      <c r="KV189" s="16"/>
      <c r="KW189" s="16"/>
      <c r="KX189" s="16"/>
      <c r="KY189" s="16"/>
      <c r="KZ189" s="16"/>
      <c r="LA189" s="16"/>
      <c r="LB189" s="16"/>
      <c r="LC189" s="16"/>
      <c r="LD189" s="16"/>
      <c r="LE189" s="16"/>
      <c r="LF189" s="16"/>
      <c r="LG189" s="16"/>
      <c r="LH189" s="16"/>
      <c r="LI189" s="16"/>
      <c r="LJ189" s="16"/>
      <c r="LK189" s="16"/>
      <c r="LL189" s="16"/>
      <c r="LM189" s="16"/>
      <c r="LN189" s="16"/>
      <c r="LO189" s="16"/>
      <c r="LP189" s="16"/>
      <c r="LQ189" s="16"/>
      <c r="LR189" s="16"/>
      <c r="LS189" s="16"/>
      <c r="LT189" s="16"/>
      <c r="LU189" s="16"/>
      <c r="LV189" s="16"/>
      <c r="LW189" s="16"/>
      <c r="LX189" s="16"/>
      <c r="LY189" s="16"/>
      <c r="LZ189" s="16"/>
      <c r="MA189" s="16"/>
      <c r="MB189" s="16"/>
      <c r="MC189" s="16"/>
      <c r="MD189" s="16"/>
      <c r="ME189" s="16"/>
      <c r="MF189" s="16"/>
      <c r="MG189" s="16"/>
      <c r="MH189" s="16"/>
      <c r="MI189" s="16"/>
      <c r="MJ189" s="16"/>
      <c r="MK189" s="16"/>
      <c r="ML189" s="16"/>
      <c r="MM189" s="16"/>
      <c r="MN189" s="16"/>
      <c r="MO189" s="16"/>
      <c r="MP189" s="16"/>
      <c r="MQ189" s="16"/>
      <c r="MR189" s="16"/>
      <c r="MS189" s="16"/>
      <c r="MT189" s="16"/>
      <c r="MU189" s="16"/>
      <c r="MV189" s="16"/>
      <c r="MW189" s="16"/>
      <c r="MX189" s="16"/>
      <c r="MY189" s="16"/>
      <c r="MZ189" s="16"/>
      <c r="NA189" s="16"/>
      <c r="NB189" s="16"/>
      <c r="NC189" s="16"/>
      <c r="ND189" s="16"/>
      <c r="NE189" s="16"/>
      <c r="NF189" s="16"/>
      <c r="NG189" s="16"/>
      <c r="NH189" s="16"/>
      <c r="NI189" s="16"/>
      <c r="NJ189" s="16"/>
      <c r="NK189" s="16"/>
      <c r="NL189" s="16"/>
      <c r="NM189" s="16"/>
      <c r="NN189" s="16"/>
      <c r="NO189" s="16"/>
      <c r="NP189" s="16"/>
      <c r="NQ189" s="16"/>
      <c r="NR189" s="16"/>
      <c r="NS189" s="16"/>
      <c r="NT189" s="16"/>
      <c r="NU189" s="16"/>
      <c r="NV189" s="16"/>
      <c r="NW189" s="16"/>
      <c r="NX189" s="16"/>
      <c r="NY189" s="16"/>
      <c r="NZ189" s="16"/>
      <c r="OA189" s="16"/>
      <c r="OB189" s="16"/>
      <c r="OC189" s="16"/>
      <c r="OD189" s="16"/>
      <c r="OE189" s="16"/>
      <c r="OF189" s="16"/>
      <c r="OG189" s="16"/>
      <c r="OH189" s="16"/>
      <c r="OI189" s="16"/>
      <c r="OJ189" s="16"/>
      <c r="OK189" s="16"/>
      <c r="OL189" s="16"/>
      <c r="OM189" s="16"/>
      <c r="ON189" s="16"/>
      <c r="OO189" s="16"/>
      <c r="OP189" s="16"/>
      <c r="OQ189" s="16"/>
      <c r="OR189" s="16"/>
      <c r="OS189" s="16"/>
      <c r="OT189" s="16"/>
      <c r="OU189" s="16"/>
      <c r="OV189" s="16"/>
      <c r="OW189" s="16"/>
      <c r="OX189" s="16"/>
      <c r="OY189" s="16"/>
      <c r="OZ189" s="16"/>
      <c r="PA189" s="16"/>
      <c r="PB189" s="16"/>
      <c r="PC189" s="16"/>
      <c r="PD189" s="16"/>
      <c r="PE189" s="16"/>
      <c r="PF189" s="16"/>
      <c r="PG189" s="16"/>
      <c r="PH189" s="16"/>
      <c r="PI189" s="16"/>
      <c r="PJ189" s="16"/>
      <c r="PK189" s="16"/>
      <c r="PL189" s="16"/>
      <c r="PM189" s="16"/>
      <c r="PN189" s="16"/>
      <c r="PO189" s="16"/>
      <c r="PP189" s="16"/>
      <c r="PQ189" s="16"/>
      <c r="PR189" s="16"/>
      <c r="PS189" s="16"/>
      <c r="PT189" s="16"/>
      <c r="PU189" s="16"/>
      <c r="PV189" s="16"/>
      <c r="PW189" s="16"/>
      <c r="PX189" s="16"/>
      <c r="PY189" s="16"/>
      <c r="PZ189" s="16"/>
      <c r="QA189" s="16"/>
      <c r="QB189" s="16"/>
      <c r="QC189" s="16"/>
      <c r="QD189" s="16"/>
      <c r="QE189" s="16"/>
      <c r="QF189" s="16"/>
      <c r="QG189" s="16"/>
      <c r="QH189" s="16"/>
      <c r="QI189" s="16"/>
      <c r="QJ189" s="16"/>
      <c r="QK189" s="16"/>
      <c r="QL189" s="16"/>
      <c r="QM189" s="16"/>
      <c r="QN189" s="16"/>
      <c r="QO189" s="16"/>
      <c r="QP189" s="16"/>
      <c r="QQ189" s="16"/>
      <c r="QR189" s="16"/>
      <c r="QS189" s="16"/>
      <c r="QT189" s="16"/>
      <c r="QU189" s="16"/>
      <c r="QV189" s="16"/>
      <c r="QW189" s="16"/>
      <c r="QX189" s="16"/>
      <c r="QY189" s="16"/>
      <c r="QZ189" s="16"/>
      <c r="RA189" s="16"/>
      <c r="RB189" s="16"/>
      <c r="RC189" s="16"/>
      <c r="RD189" s="16"/>
      <c r="RE189" s="16"/>
      <c r="RF189" s="16"/>
      <c r="RG189" s="16"/>
      <c r="RH189" s="16"/>
      <c r="RI189" s="16"/>
      <c r="RJ189" s="16"/>
      <c r="RK189" s="16"/>
      <c r="RL189" s="16"/>
      <c r="RM189" s="16"/>
      <c r="RN189" s="16"/>
      <c r="RO189" s="16"/>
      <c r="RP189" s="16"/>
      <c r="RQ189" s="16"/>
      <c r="RR189" s="16"/>
      <c r="RS189" s="16"/>
      <c r="RT189" s="16"/>
      <c r="RU189" s="16"/>
      <c r="RV189" s="16"/>
      <c r="RW189" s="16"/>
      <c r="RX189" s="16"/>
      <c r="RY189" s="16"/>
      <c r="RZ189" s="16"/>
      <c r="SA189" s="16"/>
      <c r="SB189" s="16"/>
      <c r="SC189" s="16"/>
      <c r="SD189" s="16"/>
      <c r="SE189" s="16"/>
      <c r="SF189" s="16"/>
      <c r="SG189" s="16"/>
      <c r="SH189" s="16"/>
      <c r="SI189" s="16"/>
      <c r="SJ189" s="16"/>
      <c r="SK189" s="16"/>
      <c r="SL189" s="16"/>
      <c r="SM189" s="16"/>
      <c r="SN189" s="16"/>
      <c r="SO189" s="16"/>
      <c r="SP189" s="16"/>
      <c r="SQ189" s="16"/>
      <c r="SR189" s="16"/>
      <c r="SS189" s="16"/>
      <c r="ST189" s="16"/>
      <c r="SU189" s="16"/>
      <c r="SV189" s="16"/>
      <c r="SW189" s="16"/>
      <c r="SX189" s="16"/>
      <c r="SY189" s="16"/>
      <c r="SZ189" s="16"/>
      <c r="TA189" s="16"/>
      <c r="TB189" s="16"/>
      <c r="TC189" s="16"/>
      <c r="TD189" s="16"/>
      <c r="TE189" s="16"/>
      <c r="TF189" s="16"/>
      <c r="TG189" s="16"/>
      <c r="TH189" s="16"/>
      <c r="TI189" s="16"/>
      <c r="TJ189" s="16"/>
      <c r="TK189" s="16"/>
      <c r="TL189" s="16"/>
      <c r="TM189" s="16"/>
      <c r="TN189" s="16"/>
      <c r="TO189" s="16"/>
      <c r="TP189" s="16"/>
      <c r="TQ189" s="16"/>
      <c r="TR189" s="16"/>
      <c r="TS189" s="16"/>
      <c r="TT189" s="16"/>
      <c r="TU189" s="16"/>
      <c r="TV189" s="16"/>
      <c r="TW189" s="16"/>
      <c r="TX189" s="16"/>
      <c r="TY189" s="16"/>
      <c r="TZ189" s="16"/>
      <c r="UA189" s="16"/>
      <c r="UB189" s="16"/>
      <c r="UC189" s="16"/>
      <c r="UD189" s="16"/>
      <c r="UE189" s="16"/>
      <c r="UF189" s="16"/>
      <c r="UG189" s="16"/>
      <c r="UH189" s="16"/>
      <c r="UI189" s="16"/>
      <c r="UJ189" s="16"/>
      <c r="UK189" s="16"/>
      <c r="UL189" s="16"/>
      <c r="UM189" s="16"/>
      <c r="UN189" s="16"/>
      <c r="UO189" s="16"/>
      <c r="UP189" s="16"/>
      <c r="UQ189" s="16"/>
      <c r="UR189" s="16"/>
      <c r="US189" s="16"/>
      <c r="UT189" s="16"/>
      <c r="UU189" s="16"/>
      <c r="UV189" s="16"/>
      <c r="UW189" s="16"/>
      <c r="UX189" s="16"/>
      <c r="UY189" s="16"/>
      <c r="UZ189" s="16"/>
      <c r="VA189" s="16"/>
      <c r="VB189" s="16"/>
      <c r="VC189" s="16"/>
      <c r="VD189" s="16"/>
      <c r="VE189" s="16"/>
      <c r="VF189" s="16"/>
      <c r="VG189" s="16"/>
      <c r="VH189" s="16"/>
      <c r="VI189" s="16"/>
      <c r="VJ189" s="16"/>
      <c r="VK189" s="16"/>
      <c r="VL189" s="16"/>
      <c r="VM189" s="16"/>
      <c r="VN189" s="16"/>
      <c r="VO189" s="16"/>
      <c r="VP189" s="16"/>
      <c r="VQ189" s="16"/>
      <c r="VR189" s="16"/>
      <c r="VS189" s="16"/>
      <c r="VT189" s="16"/>
      <c r="VU189" s="16"/>
      <c r="VV189" s="16"/>
      <c r="VW189" s="16"/>
      <c r="VX189" s="16"/>
      <c r="VY189" s="16"/>
      <c r="VZ189" s="16"/>
      <c r="WA189" s="16"/>
      <c r="WB189" s="16"/>
      <c r="WC189" s="16"/>
      <c r="WD189" s="16"/>
      <c r="WE189" s="16"/>
      <c r="WF189" s="16"/>
      <c r="WG189" s="16"/>
      <c r="WH189" s="16"/>
      <c r="WI189" s="16"/>
      <c r="WJ189" s="16"/>
      <c r="WK189" s="16"/>
      <c r="WL189" s="16"/>
      <c r="WM189" s="16"/>
      <c r="WN189" s="16"/>
      <c r="WO189" s="16"/>
      <c r="WP189" s="16"/>
      <c r="WQ189" s="16"/>
      <c r="WR189" s="16"/>
      <c r="WS189" s="16"/>
      <c r="WT189" s="16"/>
      <c r="WU189" s="16"/>
      <c r="WV189" s="16"/>
      <c r="WW189" s="16"/>
      <c r="WX189" s="16"/>
      <c r="WY189" s="16"/>
      <c r="WZ189" s="16"/>
      <c r="XA189" s="16"/>
      <c r="XB189" s="16"/>
      <c r="XC189" s="16"/>
      <c r="XD189" s="16"/>
      <c r="XE189" s="16"/>
      <c r="XF189" s="16"/>
      <c r="XG189" s="16"/>
      <c r="XH189" s="16"/>
      <c r="XI189" s="16"/>
      <c r="XJ189" s="16"/>
      <c r="XK189" s="16"/>
      <c r="XL189" s="16"/>
      <c r="XM189" s="16"/>
      <c r="XN189" s="16"/>
      <c r="XO189" s="16"/>
      <c r="XP189" s="16"/>
      <c r="XQ189" s="16"/>
      <c r="XR189" s="16"/>
      <c r="XS189" s="16"/>
      <c r="XT189" s="16"/>
      <c r="XU189" s="16"/>
      <c r="XV189" s="16"/>
      <c r="XW189" s="16"/>
      <c r="XX189" s="16"/>
      <c r="XY189" s="16"/>
      <c r="XZ189" s="16"/>
      <c r="YA189" s="16"/>
      <c r="YB189" s="16"/>
      <c r="YC189" s="16"/>
      <c r="YD189" s="16"/>
      <c r="YE189" s="16"/>
      <c r="YF189" s="16"/>
      <c r="YG189" s="16"/>
      <c r="YH189" s="16"/>
      <c r="YI189" s="16"/>
      <c r="YJ189" s="16"/>
      <c r="YK189" s="16"/>
      <c r="YL189" s="16"/>
      <c r="YM189" s="16"/>
      <c r="YN189" s="16"/>
      <c r="YO189" s="16"/>
      <c r="YP189" s="16"/>
      <c r="YQ189" s="16"/>
      <c r="YR189" s="16"/>
      <c r="YS189" s="16"/>
      <c r="YT189" s="16"/>
      <c r="YU189" s="16"/>
      <c r="YV189" s="16"/>
      <c r="YW189" s="16"/>
      <c r="YX189" s="16"/>
      <c r="YY189" s="16"/>
      <c r="YZ189" s="16"/>
      <c r="ZA189" s="16"/>
      <c r="ZB189" s="16"/>
      <c r="ZC189" s="16"/>
      <c r="ZD189" s="16"/>
      <c r="ZE189" s="16"/>
      <c r="ZF189" s="16"/>
      <c r="ZG189" s="16"/>
      <c r="ZH189" s="16"/>
      <c r="ZI189" s="16"/>
      <c r="ZJ189" s="16"/>
      <c r="ZK189" s="16"/>
      <c r="ZL189" s="16"/>
      <c r="ZM189" s="16"/>
      <c r="ZN189" s="16"/>
      <c r="ZO189" s="16"/>
      <c r="ZP189" s="16"/>
      <c r="ZQ189" s="16"/>
      <c r="ZR189" s="16"/>
      <c r="ZS189" s="16"/>
      <c r="ZT189" s="16"/>
      <c r="ZU189" s="16"/>
      <c r="ZV189" s="16"/>
      <c r="ZW189" s="16"/>
      <c r="ZX189" s="16"/>
      <c r="ZY189" s="16"/>
      <c r="ZZ189" s="16"/>
      <c r="AAA189" s="16"/>
      <c r="AAB189" s="16"/>
      <c r="AAC189" s="16"/>
      <c r="AAD189" s="16"/>
      <c r="AAE189" s="16"/>
      <c r="AAF189" s="16"/>
      <c r="AAG189" s="16"/>
      <c r="AAH189" s="16"/>
      <c r="AAI189" s="16"/>
      <c r="AAJ189" s="16"/>
      <c r="AAK189" s="16"/>
      <c r="AAL189" s="16"/>
      <c r="AAM189" s="16"/>
      <c r="AAN189" s="16"/>
      <c r="AAO189" s="16"/>
      <c r="AAP189" s="16"/>
      <c r="AAQ189" s="16"/>
      <c r="AAR189" s="16"/>
      <c r="AAS189" s="16"/>
      <c r="AAT189" s="16"/>
      <c r="AAU189" s="16"/>
      <c r="AAV189" s="16"/>
      <c r="AAW189" s="16"/>
      <c r="AAX189" s="16"/>
      <c r="AAY189" s="16"/>
      <c r="AAZ189" s="16"/>
      <c r="ABA189" s="16"/>
      <c r="ABB189" s="16"/>
      <c r="ABC189" s="16"/>
      <c r="ABD189" s="16"/>
      <c r="ABE189" s="16"/>
      <c r="ABF189" s="16"/>
      <c r="ABG189" s="16"/>
      <c r="ABH189" s="16"/>
      <c r="ABI189" s="16"/>
      <c r="ABJ189" s="16"/>
      <c r="ABK189" s="16"/>
      <c r="ABL189" s="16"/>
      <c r="ABM189" s="16"/>
      <c r="ABN189" s="16"/>
      <c r="ABO189" s="16"/>
      <c r="ABP189" s="16"/>
      <c r="ABQ189" s="16"/>
      <c r="ABR189" s="16"/>
      <c r="ABS189" s="16"/>
      <c r="ABT189" s="16"/>
      <c r="ABU189" s="16"/>
      <c r="ABV189" s="16"/>
      <c r="ABW189" s="16"/>
      <c r="ABX189" s="16"/>
      <c r="ABY189" s="16"/>
      <c r="ABZ189" s="16"/>
      <c r="ACA189" s="16"/>
      <c r="ACB189" s="16"/>
      <c r="ACC189" s="16"/>
      <c r="ACD189" s="16"/>
      <c r="ACE189" s="16"/>
      <c r="ACF189" s="16"/>
      <c r="ACG189" s="16"/>
      <c r="ACH189" s="16"/>
      <c r="ACI189" s="16"/>
      <c r="ACJ189" s="16"/>
      <c r="ACK189" s="16"/>
      <c r="ACL189" s="16"/>
      <c r="ACM189" s="16"/>
      <c r="ACN189" s="16"/>
      <c r="ACO189" s="16"/>
      <c r="ACP189" s="16"/>
      <c r="ACQ189" s="16"/>
      <c r="ACR189" s="16"/>
      <c r="ACS189" s="16"/>
      <c r="ACT189" s="16"/>
      <c r="ACU189" s="16"/>
      <c r="ACV189" s="16"/>
      <c r="ACW189" s="16"/>
      <c r="ACX189" s="16"/>
      <c r="ACY189" s="16"/>
      <c r="ACZ189" s="16"/>
      <c r="ADA189" s="16"/>
      <c r="ADB189" s="16"/>
      <c r="ADC189" s="16"/>
      <c r="ADD189" s="16"/>
      <c r="ADE189" s="16"/>
      <c r="ADF189" s="16"/>
      <c r="ADG189" s="16"/>
      <c r="ADH189" s="16"/>
      <c r="ADI189" s="16"/>
      <c r="ADJ189" s="16"/>
      <c r="ADK189" s="16"/>
      <c r="ADL189" s="16"/>
      <c r="ADM189" s="16"/>
      <c r="ADN189" s="16"/>
      <c r="ADO189" s="16"/>
      <c r="ADP189" s="16"/>
      <c r="ADQ189" s="16"/>
      <c r="ADR189" s="16"/>
      <c r="ADS189" s="16"/>
      <c r="ADT189" s="16"/>
      <c r="ADU189" s="16"/>
      <c r="ADV189" s="16"/>
      <c r="ADW189" s="16"/>
      <c r="ADX189" s="16"/>
      <c r="ADY189" s="16"/>
      <c r="ADZ189" s="16"/>
      <c r="AEA189" s="16"/>
      <c r="AEB189" s="16"/>
      <c r="AEC189" s="16"/>
      <c r="AED189" s="16"/>
      <c r="AEE189" s="16"/>
      <c r="AEF189" s="16"/>
      <c r="AEG189" s="16"/>
      <c r="AEH189" s="16"/>
      <c r="AEI189" s="16"/>
      <c r="AEJ189" s="16"/>
      <c r="AEK189" s="16"/>
      <c r="AEL189" s="16"/>
      <c r="AEM189" s="16"/>
      <c r="AEN189" s="16"/>
      <c r="AEO189" s="16"/>
      <c r="AEP189" s="16"/>
      <c r="AEQ189" s="16"/>
      <c r="AER189" s="16"/>
      <c r="AES189" s="16"/>
      <c r="AET189" s="16"/>
      <c r="AEU189" s="16"/>
      <c r="AEV189" s="16"/>
      <c r="AEW189" s="16"/>
      <c r="AEX189" s="16"/>
      <c r="AEY189" s="16"/>
      <c r="AEZ189" s="16"/>
      <c r="AFA189" s="16"/>
      <c r="AFB189" s="16"/>
      <c r="AFC189" s="16"/>
      <c r="AFD189" s="16"/>
      <c r="AFE189" s="16"/>
      <c r="AFF189" s="16"/>
      <c r="AFG189" s="16"/>
      <c r="AFH189" s="16"/>
      <c r="AFI189" s="16"/>
      <c r="AFJ189" s="16"/>
      <c r="AFK189" s="16"/>
      <c r="AFL189" s="16"/>
      <c r="AFM189" s="16"/>
      <c r="AFN189" s="16"/>
      <c r="AFO189" s="16"/>
      <c r="AFP189" s="16"/>
      <c r="AFQ189" s="16"/>
      <c r="AFR189" s="16"/>
      <c r="AFS189" s="16"/>
      <c r="AFT189" s="16"/>
      <c r="AFU189" s="16"/>
      <c r="AFV189" s="16"/>
      <c r="AFW189" s="16"/>
      <c r="AFX189" s="16"/>
      <c r="AFY189" s="16"/>
      <c r="AFZ189" s="16"/>
      <c r="AGA189" s="16"/>
      <c r="AGB189" s="16"/>
      <c r="AGC189" s="16"/>
      <c r="AGD189" s="16"/>
      <c r="AGE189" s="16"/>
      <c r="AGF189" s="16"/>
      <c r="AGG189" s="16"/>
      <c r="AGH189" s="16"/>
      <c r="AGI189" s="16"/>
      <c r="AGJ189" s="16"/>
      <c r="AGK189" s="16"/>
      <c r="AGL189" s="16"/>
      <c r="AGM189" s="16"/>
      <c r="AGN189" s="16"/>
      <c r="AGO189" s="16"/>
      <c r="AGP189" s="16"/>
      <c r="AGQ189" s="16"/>
      <c r="AGR189" s="16"/>
      <c r="AGS189" s="16"/>
      <c r="AGT189" s="16"/>
      <c r="AGU189" s="16"/>
      <c r="AGV189" s="16"/>
      <c r="AGW189" s="16"/>
      <c r="AGX189" s="16"/>
      <c r="AGY189" s="16"/>
      <c r="AGZ189" s="16"/>
      <c r="AHA189" s="16"/>
      <c r="AHB189" s="16"/>
      <c r="AHC189" s="16"/>
      <c r="AHD189" s="16"/>
      <c r="AHE189" s="16"/>
      <c r="AHF189" s="16"/>
      <c r="AHG189" s="16"/>
      <c r="AHH189" s="16"/>
      <c r="AHI189" s="16"/>
      <c r="AHJ189" s="16"/>
      <c r="AHK189" s="16"/>
      <c r="AHL189" s="16"/>
      <c r="AHM189" s="16"/>
      <c r="AHN189" s="16"/>
      <c r="AHO189" s="16"/>
      <c r="AHP189" s="16"/>
      <c r="AHQ189" s="16"/>
      <c r="AHR189" s="16"/>
      <c r="AHS189" s="16"/>
      <c r="AHT189" s="16"/>
      <c r="AHU189" s="16"/>
      <c r="AHV189" s="16"/>
      <c r="AHW189" s="16"/>
      <c r="AHX189" s="16"/>
      <c r="AHY189" s="16"/>
      <c r="AHZ189" s="16"/>
      <c r="AIA189" s="16"/>
      <c r="AIB189" s="16"/>
      <c r="AIC189" s="16"/>
      <c r="AID189" s="16"/>
      <c r="AIE189" s="16"/>
      <c r="AIF189" s="16"/>
      <c r="AIG189" s="16"/>
      <c r="AIH189" s="16"/>
      <c r="AII189" s="16"/>
      <c r="AIJ189" s="16"/>
      <c r="AIK189" s="16"/>
      <c r="AIL189" s="16"/>
      <c r="AIM189" s="16"/>
      <c r="AIN189" s="16"/>
      <c r="AIO189" s="16"/>
      <c r="AIP189" s="16"/>
      <c r="AIQ189" s="16"/>
      <c r="AIR189" s="16"/>
      <c r="AIS189" s="16"/>
      <c r="AIT189" s="16"/>
      <c r="AIU189" s="16"/>
      <c r="AIV189" s="16"/>
      <c r="AIW189" s="16"/>
      <c r="AIX189" s="16"/>
      <c r="AIY189" s="16"/>
      <c r="AIZ189" s="16"/>
      <c r="AJA189" s="16"/>
      <c r="AJB189" s="16"/>
      <c r="AJC189" s="16"/>
      <c r="AJD189" s="16"/>
      <c r="AJE189" s="16"/>
      <c r="AJF189" s="16"/>
      <c r="AJG189" s="16"/>
      <c r="AJH189" s="16"/>
      <c r="AJI189" s="16"/>
      <c r="AJJ189" s="16"/>
      <c r="AJK189" s="16"/>
      <c r="AJL189" s="16"/>
      <c r="AJM189" s="16"/>
      <c r="AJN189" s="16"/>
      <c r="AJO189" s="16"/>
      <c r="AJP189" s="16"/>
      <c r="AJQ189" s="16"/>
      <c r="AJR189" s="16"/>
      <c r="AJS189" s="16"/>
      <c r="AJT189" s="16"/>
      <c r="AJU189" s="16"/>
      <c r="AJV189" s="16"/>
      <c r="AJW189" s="16"/>
      <c r="AJX189" s="16"/>
      <c r="AJY189" s="16"/>
      <c r="AJZ189" s="16"/>
      <c r="AKA189" s="16"/>
      <c r="AKB189" s="16"/>
      <c r="AKC189" s="16"/>
      <c r="AKD189" s="16"/>
      <c r="AKE189" s="16"/>
      <c r="AKF189" s="16"/>
      <c r="AKG189" s="16"/>
      <c r="AKH189" s="16"/>
      <c r="AKI189" s="16"/>
      <c r="AKJ189" s="16"/>
      <c r="AKK189" s="16"/>
      <c r="AKL189" s="16"/>
      <c r="AKM189" s="16"/>
      <c r="AKN189" s="16"/>
      <c r="AKO189" s="16"/>
      <c r="AKP189" s="16"/>
      <c r="AKQ189" s="16"/>
      <c r="AKR189" s="16"/>
      <c r="AKS189" s="16"/>
      <c r="AKT189" s="16"/>
      <c r="AKU189" s="16"/>
      <c r="AKV189" s="16"/>
      <c r="AKW189" s="16"/>
      <c r="AKX189" s="16"/>
      <c r="AKY189" s="16"/>
      <c r="AKZ189" s="16"/>
      <c r="ALA189" s="16"/>
      <c r="ALB189" s="16"/>
      <c r="ALC189" s="16"/>
      <c r="ALD189" s="16"/>
      <c r="ALE189" s="16"/>
      <c r="ALF189" s="16"/>
      <c r="ALG189" s="16"/>
      <c r="ALH189" s="16"/>
      <c r="ALI189" s="16"/>
      <c r="ALJ189" s="16"/>
      <c r="ALK189" s="16"/>
      <c r="ALL189" s="16"/>
      <c r="ALM189" s="16"/>
      <c r="ALN189" s="16"/>
      <c r="ALO189" s="16"/>
      <c r="ALP189" s="16"/>
      <c r="ALQ189" s="16"/>
      <c r="ALR189" s="16"/>
      <c r="ALS189" s="16"/>
      <c r="ALT189" s="16"/>
      <c r="ALU189" s="16"/>
      <c r="ALV189" s="16"/>
      <c r="ALW189" s="16"/>
      <c r="ALX189" s="16"/>
      <c r="ALY189" s="16"/>
      <c r="ALZ189" s="16"/>
      <c r="AMA189" s="16"/>
      <c r="AMB189" s="16"/>
      <c r="AMC189" s="16"/>
      <c r="AMD189" s="16"/>
      <c r="AME189" s="16"/>
      <c r="AMF189" s="16"/>
      <c r="AMG189" s="16"/>
      <c r="AMH189" s="16"/>
      <c r="AMI189" s="16"/>
      <c r="AMJ189" s="16"/>
      <c r="AMK189" s="16"/>
      <c r="AML189" s="16"/>
      <c r="AMM189" s="16"/>
      <c r="AMN189" s="16"/>
      <c r="AMO189" s="16"/>
      <c r="AMP189" s="16"/>
      <c r="AMQ189" s="16"/>
      <c r="AMR189" s="16"/>
      <c r="AMS189" s="16"/>
      <c r="AMT189" s="16"/>
      <c r="AMU189" s="16"/>
      <c r="AMV189" s="16"/>
      <c r="AMW189" s="16"/>
      <c r="AMX189" s="16"/>
      <c r="AMY189" s="16"/>
      <c r="AMZ189" s="16"/>
      <c r="ANA189" s="16"/>
      <c r="ANB189" s="16"/>
      <c r="ANC189" s="16"/>
      <c r="AND189" s="16"/>
      <c r="ANE189" s="16"/>
      <c r="ANF189" s="16"/>
      <c r="ANG189" s="16"/>
      <c r="ANH189" s="16"/>
      <c r="ANI189" s="16"/>
      <c r="ANJ189" s="16"/>
      <c r="ANK189" s="16"/>
      <c r="ANL189" s="16"/>
      <c r="ANM189" s="16"/>
      <c r="ANN189" s="16"/>
      <c r="ANO189" s="16"/>
      <c r="ANP189" s="16"/>
      <c r="ANQ189" s="16"/>
      <c r="ANR189" s="16"/>
      <c r="ANS189" s="16"/>
      <c r="ANT189" s="16"/>
      <c r="ANU189" s="16"/>
      <c r="ANV189" s="16"/>
      <c r="ANW189" s="16"/>
      <c r="ANX189" s="16"/>
      <c r="ANY189" s="16"/>
      <c r="ANZ189" s="16"/>
      <c r="AOA189" s="16"/>
      <c r="AOB189" s="16"/>
      <c r="AOC189" s="16"/>
      <c r="AOD189" s="16"/>
      <c r="AOE189" s="16"/>
      <c r="AOF189" s="16"/>
      <c r="AOG189" s="16"/>
      <c r="AOH189" s="16"/>
      <c r="AOI189" s="16"/>
      <c r="AOJ189" s="16"/>
      <c r="AOK189" s="16"/>
      <c r="AOL189" s="16"/>
      <c r="AOM189" s="16"/>
      <c r="AON189" s="16"/>
      <c r="AOO189" s="16"/>
      <c r="AOP189" s="16"/>
      <c r="AOQ189" s="16"/>
      <c r="AOR189" s="16"/>
      <c r="AOS189" s="16"/>
      <c r="AOT189" s="16"/>
      <c r="AOU189" s="16"/>
      <c r="AOV189" s="16"/>
      <c r="AOW189" s="16"/>
      <c r="AOX189" s="16"/>
      <c r="AOY189" s="16"/>
      <c r="AOZ189" s="16"/>
      <c r="APA189" s="16"/>
      <c r="APB189" s="16"/>
      <c r="APC189" s="16"/>
      <c r="APD189" s="16"/>
      <c r="APE189" s="16"/>
      <c r="APF189" s="16"/>
      <c r="APG189" s="16"/>
      <c r="APH189" s="16"/>
      <c r="API189" s="16"/>
      <c r="APJ189" s="16"/>
      <c r="APK189" s="16"/>
      <c r="APL189" s="16"/>
      <c r="APM189" s="16"/>
      <c r="APN189" s="16"/>
      <c r="APO189" s="16"/>
      <c r="APP189" s="16"/>
      <c r="APQ189" s="16"/>
      <c r="APR189" s="16"/>
      <c r="APS189" s="16"/>
      <c r="APT189" s="16"/>
      <c r="APU189" s="16"/>
      <c r="APV189" s="16"/>
      <c r="APW189" s="16"/>
      <c r="APX189" s="16"/>
      <c r="APY189" s="16"/>
      <c r="APZ189" s="16"/>
      <c r="AQA189" s="16"/>
      <c r="AQB189" s="16"/>
      <c r="AQC189" s="16"/>
      <c r="AQD189" s="16"/>
      <c r="AQE189" s="16"/>
      <c r="AQF189" s="16"/>
      <c r="AQG189" s="16"/>
      <c r="AQH189" s="16"/>
      <c r="AQI189" s="16"/>
      <c r="AQJ189" s="16"/>
      <c r="AQK189" s="16"/>
      <c r="AQL189" s="16"/>
      <c r="AQM189" s="16"/>
      <c r="AQN189" s="16"/>
      <c r="AQO189" s="16"/>
      <c r="AQP189" s="16"/>
      <c r="AQQ189" s="16"/>
      <c r="AQR189" s="16"/>
      <c r="AQS189" s="16"/>
      <c r="AQT189" s="16"/>
      <c r="AQU189" s="16"/>
      <c r="AQV189" s="16"/>
      <c r="AQW189" s="16"/>
      <c r="AQX189" s="16"/>
      <c r="AQY189" s="16"/>
      <c r="AQZ189" s="16"/>
      <c r="ARA189" s="16"/>
      <c r="ARB189" s="16"/>
      <c r="ARC189" s="16"/>
      <c r="ARD189" s="16"/>
      <c r="ARE189" s="16"/>
      <c r="ARF189" s="16"/>
      <c r="ARG189" s="16"/>
      <c r="ARH189" s="16"/>
      <c r="ARI189" s="16"/>
      <c r="ARJ189" s="16"/>
      <c r="ARK189" s="16"/>
      <c r="ARL189" s="16"/>
      <c r="ARM189" s="16"/>
      <c r="ARN189" s="16"/>
      <c r="ARO189" s="16"/>
      <c r="ARP189" s="16"/>
      <c r="ARQ189" s="16"/>
      <c r="ARR189" s="16"/>
      <c r="ARS189" s="16"/>
      <c r="ART189" s="16"/>
      <c r="ARU189" s="16"/>
      <c r="ARV189" s="16"/>
      <c r="ARW189" s="16"/>
      <c r="ARX189" s="16"/>
      <c r="ARY189" s="16"/>
      <c r="ARZ189" s="16"/>
      <c r="ASA189" s="16"/>
      <c r="ASB189" s="16"/>
      <c r="ASC189" s="16"/>
      <c r="ASD189" s="16"/>
      <c r="ASE189" s="16"/>
      <c r="ASF189" s="16"/>
      <c r="ASG189" s="16"/>
      <c r="ASH189" s="16"/>
      <c r="ASI189" s="16"/>
      <c r="ASJ189" s="16"/>
      <c r="ASK189" s="16"/>
      <c r="ASL189" s="16"/>
      <c r="ASM189" s="16"/>
      <c r="ASN189" s="16"/>
      <c r="ASO189" s="16"/>
      <c r="ASP189" s="16"/>
      <c r="ASQ189" s="16"/>
      <c r="ASR189" s="16"/>
      <c r="ASS189" s="16"/>
      <c r="AST189" s="16"/>
      <c r="ASU189" s="16"/>
      <c r="ASV189" s="16"/>
      <c r="ASW189" s="16"/>
      <c r="ASX189" s="16"/>
      <c r="ASY189" s="16"/>
      <c r="ASZ189" s="16"/>
      <c r="ATA189" s="16"/>
      <c r="ATB189" s="16"/>
      <c r="ATC189" s="16"/>
      <c r="ATD189" s="16"/>
      <c r="ATE189" s="16"/>
      <c r="ATF189" s="16"/>
      <c r="ATG189" s="16"/>
      <c r="ATH189" s="16"/>
      <c r="ATI189" s="16"/>
      <c r="ATJ189" s="16"/>
      <c r="ATK189" s="16"/>
      <c r="ATL189" s="16"/>
      <c r="ATM189" s="16"/>
      <c r="ATN189" s="16"/>
      <c r="ATO189" s="16"/>
      <c r="ATP189" s="16"/>
      <c r="ATQ189" s="16"/>
      <c r="ATR189" s="16"/>
      <c r="ATS189" s="16"/>
      <c r="ATT189" s="16"/>
      <c r="ATU189" s="16"/>
      <c r="ATV189" s="16"/>
      <c r="ATW189" s="16"/>
      <c r="ATX189" s="16"/>
      <c r="ATY189" s="16"/>
      <c r="ATZ189" s="16"/>
      <c r="AUA189" s="16"/>
      <c r="AUB189" s="16"/>
      <c r="AUC189" s="16"/>
      <c r="AUD189" s="16"/>
      <c r="AUE189" s="16"/>
      <c r="AUF189" s="16"/>
      <c r="AUG189" s="16"/>
      <c r="AUH189" s="16"/>
      <c r="AUI189" s="16"/>
      <c r="AUJ189" s="16"/>
      <c r="AUK189" s="16"/>
      <c r="AUL189" s="16"/>
      <c r="AUM189" s="16"/>
      <c r="AUN189" s="16"/>
      <c r="AUO189" s="16"/>
      <c r="AUP189" s="16"/>
      <c r="AUQ189" s="16"/>
      <c r="AUR189" s="16"/>
      <c r="AUS189" s="16"/>
      <c r="AUT189" s="16"/>
      <c r="AUU189" s="16"/>
      <c r="AUV189" s="16"/>
      <c r="AUW189" s="16"/>
      <c r="AUX189" s="16"/>
      <c r="AUY189" s="16"/>
      <c r="AUZ189" s="16"/>
      <c r="AVA189" s="16"/>
      <c r="AVB189" s="16"/>
      <c r="AVC189" s="16"/>
      <c r="AVD189" s="16"/>
      <c r="AVE189" s="16"/>
      <c r="AVF189" s="16"/>
      <c r="AVG189" s="16"/>
      <c r="AVH189" s="16"/>
      <c r="AVI189" s="16"/>
      <c r="AVJ189" s="16"/>
      <c r="AVK189" s="16"/>
      <c r="AVL189" s="16"/>
      <c r="AVM189" s="16"/>
      <c r="AVN189" s="16"/>
      <c r="AVO189" s="16"/>
      <c r="AVP189" s="16"/>
      <c r="AVQ189" s="16"/>
      <c r="AVR189" s="16"/>
      <c r="AVS189" s="16"/>
      <c r="AVT189" s="16"/>
      <c r="AVU189" s="16"/>
      <c r="AVV189" s="16"/>
      <c r="AVW189" s="16"/>
      <c r="AVX189" s="16"/>
      <c r="AVY189" s="16"/>
      <c r="AVZ189" s="16"/>
      <c r="AWA189" s="16"/>
      <c r="AWB189" s="16"/>
      <c r="AWC189" s="16"/>
      <c r="AWD189" s="16"/>
      <c r="AWE189" s="16"/>
      <c r="AWF189" s="16"/>
      <c r="AWG189" s="16"/>
      <c r="AWH189" s="16"/>
      <c r="AWI189" s="16"/>
      <c r="AWJ189" s="16"/>
      <c r="AWK189" s="16"/>
      <c r="AWL189" s="16"/>
      <c r="AWM189" s="16"/>
      <c r="AWN189" s="16"/>
      <c r="AWO189" s="16"/>
      <c r="AWP189" s="16"/>
      <c r="AWQ189" s="16"/>
      <c r="AWR189" s="16"/>
      <c r="AWS189" s="16"/>
      <c r="AWT189" s="16"/>
      <c r="AWU189" s="16"/>
      <c r="AWV189" s="16"/>
      <c r="AWW189" s="16"/>
      <c r="AWX189" s="16"/>
      <c r="AWY189" s="16"/>
      <c r="AWZ189" s="16"/>
      <c r="AXA189" s="16"/>
      <c r="AXB189" s="16"/>
      <c r="AXC189" s="16"/>
      <c r="AXD189" s="16"/>
      <c r="AXE189" s="16"/>
      <c r="AXF189" s="16"/>
      <c r="AXG189" s="16"/>
      <c r="AXH189" s="16"/>
      <c r="AXI189" s="16"/>
      <c r="AXJ189" s="16"/>
      <c r="AXK189" s="16"/>
      <c r="AXL189" s="16"/>
      <c r="AXM189" s="16"/>
      <c r="AXN189" s="16"/>
      <c r="AXO189" s="16"/>
      <c r="AXP189" s="16"/>
      <c r="AXQ189" s="16"/>
      <c r="AXR189" s="16"/>
      <c r="AXS189" s="16"/>
      <c r="AXT189" s="16"/>
      <c r="AXU189" s="16"/>
      <c r="AXV189" s="16"/>
      <c r="AXW189" s="16"/>
      <c r="AXX189" s="16"/>
      <c r="AXY189" s="16"/>
      <c r="AXZ189" s="16"/>
      <c r="AYA189" s="16"/>
      <c r="AYB189" s="16"/>
      <c r="AYC189" s="16"/>
      <c r="AYD189" s="16"/>
      <c r="AYE189" s="16"/>
      <c r="AYF189" s="16"/>
      <c r="AYG189" s="16"/>
      <c r="AYH189" s="16"/>
      <c r="AYI189" s="16"/>
      <c r="AYJ189" s="16"/>
      <c r="AYK189" s="16"/>
      <c r="AYL189" s="16"/>
      <c r="AYM189" s="16"/>
      <c r="AYN189" s="16"/>
      <c r="AYO189" s="16"/>
      <c r="AYP189" s="16"/>
      <c r="AYQ189" s="16"/>
      <c r="AYR189" s="16"/>
      <c r="AYS189" s="16"/>
      <c r="AYT189" s="16"/>
      <c r="AYU189" s="16"/>
      <c r="AYV189" s="16"/>
      <c r="AYW189" s="16"/>
      <c r="AYX189" s="16"/>
      <c r="AYY189" s="16"/>
      <c r="AYZ189" s="16"/>
      <c r="AZA189" s="16"/>
      <c r="AZB189" s="16"/>
      <c r="AZC189" s="16"/>
      <c r="AZD189" s="16"/>
      <c r="AZE189" s="16"/>
      <c r="AZF189" s="16"/>
      <c r="AZG189" s="16"/>
      <c r="AZH189" s="16"/>
      <c r="AZI189" s="16"/>
      <c r="AZJ189" s="16"/>
      <c r="AZK189" s="16"/>
      <c r="AZL189" s="16"/>
      <c r="AZM189" s="16"/>
      <c r="AZN189" s="16"/>
      <c r="AZO189" s="16"/>
      <c r="AZP189" s="16"/>
      <c r="AZQ189" s="16"/>
      <c r="AZR189" s="16"/>
      <c r="AZS189" s="16"/>
      <c r="AZT189" s="16"/>
      <c r="AZU189" s="16"/>
      <c r="AZV189" s="16"/>
      <c r="AZW189" s="16"/>
      <c r="AZX189" s="16"/>
      <c r="AZY189" s="16"/>
      <c r="AZZ189" s="16"/>
      <c r="BAA189" s="16"/>
      <c r="BAB189" s="16"/>
      <c r="BAC189" s="16"/>
      <c r="BAD189" s="16"/>
      <c r="BAE189" s="16"/>
      <c r="BAF189" s="16"/>
      <c r="BAG189" s="16"/>
      <c r="BAH189" s="16"/>
      <c r="BAI189" s="16"/>
      <c r="BAJ189" s="16"/>
      <c r="BAK189" s="16"/>
      <c r="BAL189" s="16"/>
      <c r="BAM189" s="16"/>
      <c r="BAN189" s="16"/>
      <c r="BAO189" s="16"/>
      <c r="BAP189" s="16"/>
      <c r="BAQ189" s="16"/>
      <c r="BAR189" s="16"/>
      <c r="BAS189" s="16"/>
      <c r="BAT189" s="16"/>
      <c r="BAU189" s="16"/>
      <c r="BAV189" s="16"/>
      <c r="BAW189" s="16"/>
      <c r="BAX189" s="16"/>
      <c r="BAY189" s="16"/>
      <c r="BAZ189" s="16"/>
      <c r="BBA189" s="16"/>
      <c r="BBB189" s="16"/>
      <c r="BBC189" s="16"/>
      <c r="BBD189" s="16"/>
      <c r="BBE189" s="16"/>
      <c r="BBF189" s="16"/>
      <c r="BBG189" s="16"/>
      <c r="BBH189" s="16"/>
      <c r="BBI189" s="16"/>
      <c r="BBJ189" s="16"/>
      <c r="BBK189" s="16"/>
      <c r="BBL189" s="16"/>
      <c r="BBM189" s="16"/>
      <c r="BBN189" s="16"/>
      <c r="BBO189" s="16"/>
      <c r="BBP189" s="16"/>
      <c r="BBQ189" s="16"/>
      <c r="BBR189" s="16"/>
      <c r="BBS189" s="16"/>
      <c r="BBT189" s="16"/>
      <c r="BBU189" s="16"/>
      <c r="BBV189" s="16"/>
      <c r="BBW189" s="16"/>
      <c r="BBX189" s="16"/>
      <c r="BBY189" s="16"/>
      <c r="BBZ189" s="16"/>
      <c r="BCA189" s="16"/>
      <c r="BCB189" s="16"/>
      <c r="BCC189" s="16"/>
      <c r="BCD189" s="16"/>
      <c r="BCE189" s="16"/>
      <c r="BCF189" s="16"/>
      <c r="BCG189" s="16"/>
      <c r="BCH189" s="16"/>
      <c r="BCI189" s="16"/>
      <c r="BCJ189" s="16"/>
      <c r="BCK189" s="16"/>
      <c r="BCL189" s="16"/>
      <c r="BCM189" s="16"/>
      <c r="BCN189" s="16"/>
      <c r="BCO189" s="16"/>
      <c r="BCP189" s="16"/>
      <c r="BCQ189" s="16"/>
      <c r="BCR189" s="16"/>
      <c r="BCS189" s="16"/>
      <c r="BCT189" s="16"/>
      <c r="BCU189" s="16"/>
      <c r="BCV189" s="16"/>
      <c r="BCW189" s="16"/>
      <c r="BCX189" s="16"/>
      <c r="BCY189" s="16"/>
      <c r="BCZ189" s="16"/>
      <c r="BDA189" s="16"/>
      <c r="BDB189" s="16"/>
      <c r="BDC189" s="16"/>
      <c r="BDD189" s="16"/>
      <c r="BDE189" s="16"/>
      <c r="BDF189" s="16"/>
      <c r="BDG189" s="16"/>
      <c r="BDH189" s="16"/>
      <c r="BDI189" s="16"/>
      <c r="BDJ189" s="16"/>
      <c r="BDK189" s="16"/>
      <c r="BDL189" s="16"/>
      <c r="BDM189" s="16"/>
      <c r="BDN189" s="16"/>
      <c r="BDO189" s="16"/>
      <c r="BDP189" s="16"/>
      <c r="BDQ189" s="16"/>
      <c r="BDR189" s="16"/>
      <c r="BDS189" s="16"/>
      <c r="BDT189" s="16"/>
      <c r="BDU189" s="16"/>
      <c r="BDV189" s="16"/>
      <c r="BDW189" s="16"/>
      <c r="BDX189" s="16"/>
      <c r="BDY189" s="16"/>
      <c r="BDZ189" s="16"/>
      <c r="BEA189" s="16"/>
      <c r="BEB189" s="16"/>
      <c r="BEC189" s="16"/>
      <c r="BED189" s="16"/>
      <c r="BEE189" s="16"/>
      <c r="BEF189" s="16"/>
      <c r="BEG189" s="16"/>
      <c r="BEH189" s="16"/>
      <c r="BEI189" s="16"/>
      <c r="BEJ189" s="16"/>
      <c r="BEK189" s="16"/>
      <c r="BEL189" s="16"/>
      <c r="BEM189" s="16"/>
      <c r="BEN189" s="16"/>
      <c r="BEO189" s="16"/>
      <c r="BEP189" s="16"/>
      <c r="BEQ189" s="16"/>
      <c r="BER189" s="16"/>
      <c r="BES189" s="16"/>
      <c r="BET189" s="16"/>
      <c r="BEU189" s="16"/>
      <c r="BEV189" s="16"/>
      <c r="BEW189" s="16"/>
      <c r="BEX189" s="16"/>
      <c r="BEY189" s="16"/>
      <c r="BEZ189" s="16"/>
      <c r="BFA189" s="16"/>
      <c r="BFB189" s="16"/>
      <c r="BFC189" s="16"/>
      <c r="BFD189" s="16"/>
      <c r="BFE189" s="16"/>
      <c r="BFF189" s="16"/>
      <c r="BFG189" s="16"/>
      <c r="BFH189" s="16"/>
      <c r="BFI189" s="16"/>
      <c r="BFJ189" s="16"/>
      <c r="BFK189" s="16"/>
      <c r="BFL189" s="16"/>
      <c r="BFM189" s="16"/>
      <c r="BFN189" s="16"/>
      <c r="BFO189" s="16"/>
      <c r="BFP189" s="16"/>
      <c r="BFQ189" s="16"/>
      <c r="BFR189" s="16"/>
      <c r="BFS189" s="16"/>
      <c r="BFT189" s="16"/>
      <c r="BFU189" s="16"/>
      <c r="BFV189" s="16"/>
      <c r="BFW189" s="16"/>
      <c r="BFX189" s="16"/>
      <c r="BFY189" s="16"/>
      <c r="BFZ189" s="16"/>
      <c r="BGA189" s="16"/>
      <c r="BGB189" s="16"/>
      <c r="BGC189" s="16"/>
      <c r="BGD189" s="16"/>
      <c r="BGE189" s="16"/>
      <c r="BGF189" s="16"/>
      <c r="BGG189" s="16"/>
      <c r="BGH189" s="16"/>
      <c r="BGI189" s="16"/>
      <c r="BGJ189" s="16"/>
      <c r="BGK189" s="16"/>
      <c r="BGL189" s="16"/>
      <c r="BGM189" s="16"/>
      <c r="BGN189" s="16"/>
      <c r="BGO189" s="16"/>
      <c r="BGP189" s="16"/>
      <c r="BGQ189" s="16"/>
      <c r="BGR189" s="16"/>
      <c r="BGS189" s="16"/>
      <c r="BGT189" s="16"/>
      <c r="BGU189" s="16"/>
      <c r="BGV189" s="16"/>
      <c r="BGW189" s="16"/>
      <c r="BGX189" s="16"/>
      <c r="BGY189" s="16"/>
      <c r="BGZ189" s="16"/>
      <c r="BHA189" s="16"/>
      <c r="BHB189" s="16"/>
      <c r="BHC189" s="16"/>
      <c r="BHD189" s="16"/>
      <c r="BHE189" s="16"/>
      <c r="BHF189" s="16"/>
      <c r="BHG189" s="16"/>
      <c r="BHH189" s="16"/>
      <c r="BHI189" s="16"/>
      <c r="BHJ189" s="16"/>
      <c r="BHK189" s="16"/>
      <c r="BHL189" s="16"/>
      <c r="BHM189" s="16"/>
      <c r="BHN189" s="16"/>
      <c r="BHO189" s="16"/>
      <c r="BHP189" s="16"/>
      <c r="BHQ189" s="16"/>
      <c r="BHR189" s="16"/>
      <c r="BHS189" s="16"/>
      <c r="BHT189" s="16"/>
      <c r="BHU189" s="16"/>
      <c r="BHV189" s="16"/>
      <c r="BHW189" s="16"/>
      <c r="BHX189" s="16"/>
      <c r="BHY189" s="16"/>
      <c r="BHZ189" s="16"/>
      <c r="BIA189" s="16"/>
      <c r="BIB189" s="16"/>
      <c r="BIC189" s="16"/>
      <c r="BID189" s="16"/>
      <c r="BIE189" s="16"/>
      <c r="BIF189" s="16"/>
      <c r="BIG189" s="16"/>
      <c r="BIH189" s="16"/>
      <c r="BII189" s="16"/>
      <c r="BIJ189" s="16"/>
      <c r="BIK189" s="16"/>
      <c r="BIL189" s="16"/>
      <c r="BIM189" s="16"/>
      <c r="BIN189" s="16"/>
      <c r="BIO189" s="16"/>
      <c r="BIP189" s="16"/>
      <c r="BIQ189" s="16"/>
      <c r="BIR189" s="16"/>
      <c r="BIS189" s="16"/>
      <c r="BIT189" s="16"/>
      <c r="BIU189" s="16"/>
      <c r="BIV189" s="16"/>
      <c r="BIW189" s="16"/>
      <c r="BIX189" s="16"/>
      <c r="BIY189" s="16"/>
      <c r="BIZ189" s="16"/>
      <c r="BJA189" s="16"/>
      <c r="BJB189" s="16"/>
      <c r="BJC189" s="16"/>
      <c r="BJD189" s="16"/>
      <c r="BJE189" s="16"/>
      <c r="BJF189" s="16"/>
      <c r="BJG189" s="16"/>
      <c r="BJH189" s="16"/>
      <c r="BJI189" s="16"/>
      <c r="BJJ189" s="16"/>
      <c r="BJK189" s="16"/>
      <c r="BJL189" s="16"/>
      <c r="BJM189" s="16"/>
      <c r="BJN189" s="16"/>
      <c r="BJO189" s="16"/>
      <c r="BJP189" s="16"/>
      <c r="BJQ189" s="16"/>
      <c r="BJR189" s="16"/>
      <c r="BJS189" s="16"/>
      <c r="BJT189" s="16"/>
      <c r="BJU189" s="16"/>
      <c r="BJV189" s="16"/>
      <c r="BJW189" s="16"/>
      <c r="BJX189" s="16"/>
      <c r="BJY189" s="16"/>
      <c r="BJZ189" s="16"/>
      <c r="BKA189" s="16"/>
      <c r="BKB189" s="16"/>
      <c r="BKC189" s="16"/>
      <c r="BKD189" s="16"/>
      <c r="BKE189" s="16"/>
      <c r="BKF189" s="16"/>
      <c r="BKG189" s="16"/>
      <c r="BKH189" s="16"/>
      <c r="BKI189" s="16"/>
      <c r="BKJ189" s="16"/>
      <c r="BKK189" s="16"/>
      <c r="BKL189" s="16"/>
      <c r="BKM189" s="16"/>
      <c r="BKN189" s="16"/>
      <c r="BKO189" s="16"/>
      <c r="BKP189" s="16"/>
      <c r="BKQ189" s="16"/>
      <c r="BKR189" s="16"/>
      <c r="BKS189" s="16"/>
      <c r="BKT189" s="16"/>
      <c r="BKU189" s="16"/>
      <c r="BKV189" s="16"/>
      <c r="BKW189" s="16"/>
      <c r="BKX189" s="16"/>
      <c r="BKY189" s="16"/>
      <c r="BKZ189" s="16"/>
      <c r="BLA189" s="16"/>
      <c r="BLB189" s="16"/>
      <c r="BLC189" s="16"/>
      <c r="BLD189" s="16"/>
      <c r="BLE189" s="16"/>
      <c r="BLF189" s="16"/>
      <c r="BLG189" s="16"/>
      <c r="BLH189" s="16"/>
      <c r="BLI189" s="16"/>
      <c r="BLJ189" s="16"/>
      <c r="BLK189" s="16"/>
      <c r="BLL189" s="16"/>
      <c r="BLM189" s="16"/>
      <c r="BLN189" s="16"/>
      <c r="BLO189" s="16"/>
      <c r="BLP189" s="16"/>
      <c r="BLQ189" s="16"/>
      <c r="BLR189" s="16"/>
      <c r="BLS189" s="16"/>
      <c r="BLT189" s="16"/>
      <c r="BLU189" s="16"/>
      <c r="BLV189" s="16"/>
      <c r="BLW189" s="16"/>
      <c r="BLX189" s="16"/>
      <c r="BLY189" s="16"/>
      <c r="BLZ189" s="16"/>
      <c r="BMA189" s="16"/>
      <c r="BMB189" s="16"/>
      <c r="BMC189" s="16"/>
      <c r="BMD189" s="16"/>
      <c r="BME189" s="16"/>
      <c r="BMF189" s="16"/>
      <c r="BMG189" s="16"/>
      <c r="BMH189" s="16"/>
      <c r="BMI189" s="16"/>
      <c r="BMJ189" s="16"/>
      <c r="BMK189" s="16"/>
      <c r="BML189" s="16"/>
      <c r="BMM189" s="16"/>
      <c r="BMN189" s="16"/>
      <c r="BMO189" s="16"/>
      <c r="BMP189" s="16"/>
      <c r="BMQ189" s="16"/>
      <c r="BMR189" s="16"/>
      <c r="BMS189" s="16"/>
      <c r="BMT189" s="16"/>
      <c r="BMU189" s="16"/>
      <c r="BMV189" s="16"/>
      <c r="BMW189" s="16"/>
      <c r="BMX189" s="16"/>
      <c r="BMY189" s="16"/>
      <c r="BMZ189" s="16"/>
      <c r="BNA189" s="16"/>
      <c r="BNB189" s="16"/>
      <c r="BNC189" s="16"/>
      <c r="BND189" s="16"/>
      <c r="BNE189" s="16"/>
      <c r="BNF189" s="16"/>
      <c r="BNG189" s="16"/>
      <c r="BNH189" s="16"/>
      <c r="BNI189" s="16"/>
      <c r="BNJ189" s="16"/>
      <c r="BNK189" s="16"/>
      <c r="BNL189" s="16"/>
      <c r="BNM189" s="16"/>
      <c r="BNN189" s="16"/>
      <c r="BNO189" s="16"/>
      <c r="BNP189" s="16"/>
      <c r="BNQ189" s="16"/>
      <c r="BNR189" s="16"/>
      <c r="BNS189" s="16"/>
      <c r="BNT189" s="16"/>
      <c r="BNU189" s="16"/>
      <c r="BNV189" s="16"/>
      <c r="BNW189" s="16"/>
      <c r="BNX189" s="16"/>
      <c r="BNY189" s="16"/>
      <c r="BNZ189" s="16"/>
      <c r="BOA189" s="16"/>
      <c r="BOB189" s="16"/>
      <c r="BOC189" s="16"/>
      <c r="BOD189" s="16"/>
      <c r="BOE189" s="16"/>
      <c r="BOF189" s="16"/>
      <c r="BOG189" s="16"/>
      <c r="BOH189" s="16"/>
      <c r="BOI189" s="16"/>
      <c r="BOJ189" s="16"/>
      <c r="BOK189" s="16"/>
      <c r="BOL189" s="16"/>
      <c r="BOM189" s="16"/>
      <c r="BON189" s="16"/>
      <c r="BOO189" s="16"/>
      <c r="BOP189" s="16"/>
      <c r="BOQ189" s="16"/>
      <c r="BOR189" s="16"/>
      <c r="BOS189" s="16"/>
      <c r="BOT189" s="16"/>
      <c r="BOU189" s="16"/>
      <c r="BOV189" s="16"/>
      <c r="BOW189" s="16"/>
      <c r="BOX189" s="16"/>
      <c r="BOY189" s="16"/>
      <c r="BOZ189" s="16"/>
      <c r="BPA189" s="16"/>
      <c r="BPB189" s="16"/>
      <c r="BPC189" s="16"/>
      <c r="BPD189" s="16"/>
      <c r="BPE189" s="16"/>
      <c r="BPF189" s="16"/>
      <c r="BPG189" s="16"/>
      <c r="BPH189" s="16"/>
      <c r="BPI189" s="16"/>
      <c r="BPJ189" s="16"/>
      <c r="BPK189" s="16"/>
      <c r="BPL189" s="16"/>
      <c r="BPM189" s="16"/>
      <c r="BPN189" s="16"/>
      <c r="BPO189" s="16"/>
      <c r="BPP189" s="16"/>
      <c r="BPQ189" s="16"/>
      <c r="BPR189" s="16"/>
      <c r="BPS189" s="16"/>
      <c r="BPT189" s="16"/>
      <c r="BPU189" s="16"/>
      <c r="BPV189" s="16"/>
      <c r="BPW189" s="16"/>
      <c r="BPX189" s="16"/>
      <c r="BPY189" s="16"/>
      <c r="BPZ189" s="16"/>
      <c r="BQA189" s="16"/>
      <c r="BQB189" s="16"/>
      <c r="BQC189" s="16"/>
      <c r="BQD189" s="16"/>
      <c r="BQE189" s="16"/>
      <c r="BQF189" s="16"/>
      <c r="BQG189" s="16"/>
      <c r="BQH189" s="16"/>
      <c r="BQI189" s="16"/>
      <c r="BQJ189" s="16"/>
      <c r="BQK189" s="16"/>
      <c r="BQL189" s="16"/>
      <c r="BQM189" s="16"/>
      <c r="BQN189" s="16"/>
      <c r="BQO189" s="16"/>
      <c r="BQP189" s="16"/>
      <c r="BQQ189" s="16"/>
      <c r="BQR189" s="16"/>
      <c r="BQS189" s="16"/>
      <c r="BQT189" s="16"/>
      <c r="BQU189" s="16"/>
      <c r="BQV189" s="16"/>
      <c r="BQW189" s="16"/>
      <c r="BQX189" s="16"/>
      <c r="BQY189" s="16"/>
      <c r="BQZ189" s="16"/>
      <c r="BRA189" s="16"/>
      <c r="BRB189" s="16"/>
      <c r="BRC189" s="16"/>
      <c r="BRD189" s="16"/>
      <c r="BRE189" s="16"/>
      <c r="BRF189" s="16"/>
      <c r="BRG189" s="16"/>
      <c r="BRH189" s="16"/>
      <c r="BRI189" s="16"/>
      <c r="BRJ189" s="16"/>
      <c r="BRK189" s="16"/>
      <c r="BRL189" s="16"/>
      <c r="BRM189" s="16"/>
      <c r="BRN189" s="16"/>
      <c r="BRO189" s="16"/>
      <c r="BRP189" s="16"/>
      <c r="BRQ189" s="16"/>
      <c r="BRR189" s="16"/>
      <c r="BRS189" s="16"/>
      <c r="BRT189" s="16"/>
      <c r="BRU189" s="16"/>
      <c r="BRV189" s="16"/>
      <c r="BRW189" s="16"/>
      <c r="BRX189" s="16"/>
      <c r="BRY189" s="16"/>
      <c r="BRZ189" s="16"/>
      <c r="BSA189" s="16"/>
      <c r="BSB189" s="16"/>
      <c r="BSC189" s="16"/>
      <c r="BSD189" s="16"/>
      <c r="BSE189" s="16"/>
      <c r="BSF189" s="16"/>
      <c r="BSG189" s="16"/>
      <c r="BSH189" s="16"/>
      <c r="BSI189" s="16"/>
      <c r="BSJ189" s="16"/>
      <c r="BSK189" s="16"/>
      <c r="BSL189" s="16"/>
      <c r="BSM189" s="16"/>
      <c r="BSN189" s="16"/>
      <c r="BSO189" s="16"/>
      <c r="BSP189" s="16"/>
      <c r="BSQ189" s="16"/>
      <c r="BSR189" s="16"/>
      <c r="BSS189" s="16"/>
      <c r="BST189" s="16"/>
      <c r="BSU189" s="16"/>
      <c r="BSV189" s="16"/>
      <c r="BSW189" s="16"/>
      <c r="BSX189" s="16"/>
      <c r="BSY189" s="16"/>
      <c r="BSZ189" s="16"/>
      <c r="BTA189" s="16"/>
      <c r="BTB189" s="16"/>
      <c r="BTC189" s="16"/>
      <c r="BTD189" s="16"/>
      <c r="BTE189" s="16"/>
      <c r="BTF189" s="16"/>
      <c r="BTG189" s="16"/>
      <c r="BTH189" s="16"/>
      <c r="BTI189" s="16"/>
      <c r="BTJ189" s="16"/>
      <c r="BTK189" s="16"/>
      <c r="BTL189" s="16"/>
      <c r="BTM189" s="16"/>
      <c r="BTN189" s="16"/>
      <c r="BTO189" s="16"/>
      <c r="BTP189" s="16"/>
      <c r="BTQ189" s="16"/>
      <c r="BTR189" s="16"/>
      <c r="BTS189" s="16"/>
      <c r="BTT189" s="16"/>
      <c r="BTU189" s="16"/>
      <c r="BTV189" s="16"/>
      <c r="BTW189" s="16"/>
      <c r="BTX189" s="16"/>
      <c r="BTY189" s="16"/>
      <c r="BTZ189" s="16"/>
      <c r="BUA189" s="16"/>
      <c r="BUB189" s="16"/>
      <c r="BUC189" s="16"/>
      <c r="BUD189" s="16"/>
      <c r="BUE189" s="16"/>
      <c r="BUF189" s="16"/>
      <c r="BUG189" s="16"/>
      <c r="BUH189" s="16"/>
      <c r="BUI189" s="16"/>
      <c r="BUJ189" s="16"/>
      <c r="BUK189" s="16"/>
      <c r="BUL189" s="16"/>
      <c r="BUM189" s="16"/>
      <c r="BUN189" s="16"/>
      <c r="BUO189" s="16"/>
      <c r="BUP189" s="16"/>
      <c r="BUQ189" s="16"/>
      <c r="BUR189" s="16"/>
      <c r="BUS189" s="16"/>
      <c r="BUT189" s="16"/>
      <c r="BUU189" s="16"/>
      <c r="BUV189" s="16"/>
      <c r="BUW189" s="16"/>
      <c r="BUX189" s="16"/>
      <c r="BUY189" s="16"/>
      <c r="BUZ189" s="16"/>
      <c r="BVA189" s="16"/>
      <c r="BVB189" s="16"/>
      <c r="BVC189" s="16"/>
      <c r="BVD189" s="16"/>
      <c r="BVE189" s="16"/>
      <c r="BVF189" s="16"/>
      <c r="BVG189" s="16"/>
      <c r="BVH189" s="16"/>
      <c r="BVI189" s="16"/>
      <c r="BVJ189" s="16"/>
      <c r="BVK189" s="16"/>
      <c r="BVL189" s="16"/>
      <c r="BVM189" s="16"/>
      <c r="BVN189" s="16"/>
      <c r="BVO189" s="16"/>
      <c r="BVP189" s="16"/>
      <c r="BVQ189" s="16"/>
      <c r="BVR189" s="16"/>
      <c r="BVS189" s="16"/>
      <c r="BVT189" s="16"/>
      <c r="BVU189" s="16"/>
      <c r="BVV189" s="16"/>
      <c r="BVW189" s="16"/>
      <c r="BVX189" s="16"/>
      <c r="BVY189" s="16"/>
      <c r="BVZ189" s="16"/>
      <c r="BWA189" s="16"/>
      <c r="BWB189" s="16"/>
      <c r="BWC189" s="16"/>
      <c r="BWD189" s="16"/>
      <c r="BWE189" s="16"/>
      <c r="BWF189" s="16"/>
      <c r="BWG189" s="16"/>
      <c r="BWH189" s="16"/>
      <c r="BWI189" s="16"/>
      <c r="BWJ189" s="16"/>
      <c r="BWK189" s="16"/>
      <c r="BWL189" s="16"/>
      <c r="BWM189" s="16"/>
      <c r="BWN189" s="16"/>
      <c r="BWO189" s="16"/>
      <c r="BWP189" s="16"/>
      <c r="BWQ189" s="16"/>
      <c r="BWR189" s="16"/>
      <c r="BWS189" s="16"/>
      <c r="BWT189" s="16"/>
      <c r="BWU189" s="16"/>
      <c r="BWV189" s="16"/>
      <c r="BWW189" s="16"/>
      <c r="BWX189" s="16"/>
      <c r="BWY189" s="16"/>
      <c r="BWZ189" s="16"/>
      <c r="BXA189" s="16"/>
      <c r="BXB189" s="16"/>
      <c r="BXC189" s="16"/>
      <c r="BXD189" s="16"/>
      <c r="BXE189" s="16"/>
      <c r="BXF189" s="16"/>
      <c r="BXG189" s="16"/>
      <c r="BXH189" s="16"/>
      <c r="BXI189" s="16"/>
      <c r="BXJ189" s="16"/>
      <c r="BXK189" s="16"/>
      <c r="BXL189" s="16"/>
      <c r="BXM189" s="16"/>
      <c r="BXN189" s="16"/>
      <c r="BXO189" s="16"/>
      <c r="BXP189" s="16"/>
      <c r="BXQ189" s="16"/>
      <c r="BXR189" s="16"/>
      <c r="BXS189" s="16"/>
      <c r="BXT189" s="16"/>
      <c r="BXU189" s="16"/>
      <c r="BXV189" s="16"/>
      <c r="BXW189" s="16"/>
      <c r="BXX189" s="16"/>
      <c r="BXY189" s="16"/>
      <c r="BXZ189" s="16"/>
      <c r="BYA189" s="16"/>
      <c r="BYB189" s="16"/>
      <c r="BYC189" s="16"/>
      <c r="BYD189" s="16"/>
      <c r="BYE189" s="16"/>
      <c r="BYF189" s="16"/>
      <c r="BYG189" s="16"/>
      <c r="BYH189" s="16"/>
      <c r="BYI189" s="16"/>
      <c r="BYJ189" s="16"/>
      <c r="BYK189" s="16"/>
      <c r="BYL189" s="16"/>
      <c r="BYM189" s="16"/>
      <c r="BYN189" s="16"/>
      <c r="BYO189" s="16"/>
      <c r="BYP189" s="16"/>
      <c r="BYQ189" s="16"/>
      <c r="BYR189" s="16"/>
      <c r="BYS189" s="16"/>
      <c r="BYT189" s="16"/>
      <c r="BYU189" s="16"/>
      <c r="BYV189" s="16"/>
      <c r="BYW189" s="16"/>
      <c r="BYX189" s="16"/>
      <c r="BYY189" s="16"/>
      <c r="BYZ189" s="16"/>
      <c r="BZA189" s="16"/>
      <c r="BZB189" s="16"/>
      <c r="BZC189" s="16"/>
      <c r="BZD189" s="16"/>
      <c r="BZE189" s="16"/>
      <c r="BZF189" s="16"/>
      <c r="BZG189" s="16"/>
      <c r="BZH189" s="16"/>
      <c r="BZI189" s="16"/>
      <c r="BZJ189" s="16"/>
      <c r="BZK189" s="16"/>
      <c r="BZL189" s="16"/>
      <c r="BZM189" s="16"/>
      <c r="BZN189" s="16"/>
      <c r="BZO189" s="16"/>
      <c r="BZP189" s="16"/>
      <c r="BZQ189" s="16"/>
      <c r="BZR189" s="16"/>
      <c r="BZS189" s="16"/>
      <c r="BZT189" s="16"/>
      <c r="BZU189" s="16"/>
      <c r="BZV189" s="16"/>
      <c r="BZW189" s="16"/>
      <c r="BZX189" s="16"/>
      <c r="BZY189" s="16"/>
      <c r="BZZ189" s="16"/>
      <c r="CAA189" s="16"/>
      <c r="CAB189" s="16"/>
      <c r="CAC189" s="16"/>
      <c r="CAD189" s="16"/>
      <c r="CAE189" s="16"/>
      <c r="CAF189" s="16"/>
      <c r="CAG189" s="16"/>
      <c r="CAH189" s="16"/>
      <c r="CAI189" s="16"/>
      <c r="CAJ189" s="16"/>
      <c r="CAK189" s="16"/>
      <c r="CAL189" s="16"/>
      <c r="CAM189" s="16"/>
      <c r="CAN189" s="16"/>
      <c r="CAO189" s="16"/>
      <c r="CAP189" s="16"/>
      <c r="CAQ189" s="16"/>
      <c r="CAR189" s="16"/>
      <c r="CAS189" s="16"/>
      <c r="CAT189" s="16"/>
      <c r="CAU189" s="16"/>
      <c r="CAV189" s="16"/>
      <c r="CAW189" s="16"/>
      <c r="CAX189" s="16"/>
      <c r="CAY189" s="16"/>
      <c r="CAZ189" s="16"/>
      <c r="CBA189" s="16"/>
      <c r="CBB189" s="16"/>
      <c r="CBC189" s="16"/>
      <c r="CBD189" s="16"/>
      <c r="CBE189" s="16"/>
      <c r="CBF189" s="16"/>
      <c r="CBG189" s="16"/>
      <c r="CBH189" s="16"/>
      <c r="CBI189" s="16"/>
      <c r="CBJ189" s="16"/>
      <c r="CBK189" s="16"/>
      <c r="CBL189" s="16"/>
      <c r="CBM189" s="16"/>
      <c r="CBN189" s="16"/>
      <c r="CBO189" s="16"/>
      <c r="CBP189" s="16"/>
      <c r="CBQ189" s="16"/>
      <c r="CBR189" s="16"/>
      <c r="CBS189" s="16"/>
      <c r="CBT189" s="16"/>
      <c r="CBU189" s="16"/>
      <c r="CBV189" s="16"/>
      <c r="CBW189" s="16"/>
      <c r="CBX189" s="16"/>
      <c r="CBY189" s="16"/>
      <c r="CBZ189" s="16"/>
      <c r="CCA189" s="16"/>
      <c r="CCB189" s="16"/>
      <c r="CCC189" s="16"/>
      <c r="CCD189" s="16"/>
      <c r="CCE189" s="16"/>
      <c r="CCF189" s="16"/>
      <c r="CCG189" s="16"/>
      <c r="CCH189" s="16"/>
      <c r="CCI189" s="16"/>
      <c r="CCJ189" s="16"/>
      <c r="CCK189" s="16"/>
      <c r="CCL189" s="16"/>
      <c r="CCM189" s="16"/>
      <c r="CCN189" s="16"/>
      <c r="CCO189" s="16"/>
      <c r="CCP189" s="16"/>
      <c r="CCQ189" s="16"/>
      <c r="CCR189" s="16"/>
      <c r="CCS189" s="16"/>
      <c r="CCT189" s="16"/>
      <c r="CCU189" s="16"/>
      <c r="CCV189" s="16"/>
      <c r="CCW189" s="16"/>
      <c r="CCX189" s="16"/>
      <c r="CCY189" s="16"/>
      <c r="CCZ189" s="16"/>
      <c r="CDA189" s="16"/>
      <c r="CDB189" s="16"/>
      <c r="CDC189" s="16"/>
      <c r="CDD189" s="16"/>
      <c r="CDE189" s="16"/>
      <c r="CDF189" s="16"/>
      <c r="CDG189" s="16"/>
      <c r="CDH189" s="16"/>
      <c r="CDI189" s="16"/>
      <c r="CDJ189" s="16"/>
      <c r="CDK189" s="16"/>
      <c r="CDL189" s="16"/>
      <c r="CDM189" s="16"/>
      <c r="CDN189" s="16"/>
      <c r="CDO189" s="16"/>
      <c r="CDP189" s="16"/>
      <c r="CDQ189" s="16"/>
      <c r="CDR189" s="16"/>
      <c r="CDS189" s="16"/>
      <c r="CDT189" s="16"/>
      <c r="CDU189" s="16"/>
      <c r="CDV189" s="16"/>
      <c r="CDW189" s="16"/>
      <c r="CDX189" s="16"/>
      <c r="CDY189" s="16"/>
      <c r="CDZ189" s="16"/>
      <c r="CEA189" s="16"/>
      <c r="CEB189" s="16"/>
      <c r="CEC189" s="16"/>
      <c r="CED189" s="16"/>
      <c r="CEE189" s="16"/>
      <c r="CEF189" s="16"/>
      <c r="CEG189" s="16"/>
      <c r="CEH189" s="16"/>
      <c r="CEI189" s="16"/>
      <c r="CEJ189" s="16"/>
      <c r="CEK189" s="16"/>
      <c r="CEL189" s="16"/>
      <c r="CEM189" s="16"/>
      <c r="CEN189" s="16"/>
      <c r="CEO189" s="16"/>
      <c r="CEP189" s="16"/>
      <c r="CEQ189" s="16"/>
      <c r="CER189" s="16"/>
      <c r="CES189" s="16"/>
      <c r="CET189" s="16"/>
      <c r="CEU189" s="16"/>
      <c r="CEV189" s="16"/>
      <c r="CEW189" s="16"/>
      <c r="CEX189" s="16"/>
      <c r="CEY189" s="16"/>
      <c r="CEZ189" s="16"/>
      <c r="CFA189" s="16"/>
      <c r="CFB189" s="16"/>
      <c r="CFC189" s="16"/>
      <c r="CFD189" s="16"/>
      <c r="CFE189" s="16"/>
      <c r="CFF189" s="16"/>
      <c r="CFG189" s="16"/>
      <c r="CFH189" s="16"/>
      <c r="CFI189" s="16"/>
      <c r="CFJ189" s="16"/>
      <c r="CFK189" s="16"/>
      <c r="CFL189" s="16"/>
      <c r="CFM189" s="16"/>
      <c r="CFN189" s="16"/>
      <c r="CFO189" s="16"/>
      <c r="CFP189" s="16"/>
      <c r="CFQ189" s="16"/>
      <c r="CFR189" s="16"/>
      <c r="CFS189" s="16"/>
      <c r="CFT189" s="16"/>
      <c r="CFU189" s="16"/>
      <c r="CFV189" s="16"/>
      <c r="CFW189" s="16"/>
      <c r="CFX189" s="16"/>
      <c r="CFY189" s="16"/>
      <c r="CFZ189" s="16"/>
      <c r="CGA189" s="16"/>
      <c r="CGB189" s="16"/>
      <c r="CGC189" s="16"/>
      <c r="CGD189" s="16"/>
      <c r="CGE189" s="16"/>
      <c r="CGF189" s="16"/>
      <c r="CGG189" s="16"/>
      <c r="CGH189" s="16"/>
      <c r="CGI189" s="16"/>
      <c r="CGJ189" s="16"/>
      <c r="CGK189" s="16"/>
      <c r="CGL189" s="16"/>
      <c r="CGM189" s="16"/>
      <c r="CGN189" s="16"/>
      <c r="CGO189" s="16"/>
      <c r="CGP189" s="16"/>
      <c r="CGQ189" s="16"/>
      <c r="CGR189" s="16"/>
      <c r="CGS189" s="16"/>
      <c r="CGT189" s="16"/>
      <c r="CGU189" s="16"/>
      <c r="CGV189" s="16"/>
      <c r="CGW189" s="16"/>
      <c r="CGX189" s="16"/>
      <c r="CGY189" s="16"/>
      <c r="CGZ189" s="16"/>
      <c r="CHA189" s="16"/>
      <c r="CHB189" s="16"/>
      <c r="CHC189" s="16"/>
      <c r="CHD189" s="16"/>
      <c r="CHE189" s="16"/>
      <c r="CHF189" s="16"/>
      <c r="CHG189" s="16"/>
      <c r="CHH189" s="16"/>
      <c r="CHI189" s="16"/>
      <c r="CHJ189" s="16"/>
      <c r="CHK189" s="16"/>
      <c r="CHL189" s="16"/>
      <c r="CHM189" s="16"/>
      <c r="CHN189" s="16"/>
      <c r="CHO189" s="16"/>
      <c r="CHP189" s="16"/>
      <c r="CHQ189" s="16"/>
      <c r="CHR189" s="16"/>
      <c r="CHS189" s="16"/>
      <c r="CHT189" s="16"/>
      <c r="CHU189" s="16"/>
      <c r="CHV189" s="16"/>
      <c r="CHW189" s="16"/>
      <c r="CHX189" s="16"/>
      <c r="CHY189" s="16"/>
      <c r="CHZ189" s="16"/>
      <c r="CIA189" s="16"/>
      <c r="CIB189" s="16"/>
      <c r="CIC189" s="16"/>
      <c r="CID189" s="16"/>
      <c r="CIE189" s="16"/>
      <c r="CIF189" s="16"/>
      <c r="CIG189" s="16"/>
      <c r="CIH189" s="16"/>
      <c r="CII189" s="16"/>
      <c r="CIJ189" s="16"/>
      <c r="CIK189" s="16"/>
      <c r="CIL189" s="16"/>
      <c r="CIM189" s="16"/>
      <c r="CIN189" s="16"/>
      <c r="CIO189" s="16"/>
      <c r="CIP189" s="16"/>
      <c r="CIQ189" s="16"/>
      <c r="CIR189" s="16"/>
      <c r="CIS189" s="16"/>
      <c r="CIT189" s="16"/>
      <c r="CIU189" s="16"/>
      <c r="CIV189" s="16"/>
      <c r="CIW189" s="16"/>
      <c r="CIX189" s="16"/>
      <c r="CIY189" s="16"/>
      <c r="CIZ189" s="16"/>
      <c r="CJA189" s="16"/>
      <c r="CJB189" s="16"/>
      <c r="CJC189" s="16"/>
      <c r="CJD189" s="16"/>
      <c r="CJE189" s="16"/>
      <c r="CJF189" s="16"/>
      <c r="CJG189" s="16"/>
      <c r="CJH189" s="16"/>
      <c r="CJI189" s="16"/>
      <c r="CJJ189" s="16"/>
      <c r="CJK189" s="16"/>
      <c r="CJL189" s="16"/>
      <c r="CJM189" s="16"/>
      <c r="CJN189" s="16"/>
      <c r="CJO189" s="16"/>
      <c r="CJP189" s="16"/>
      <c r="CJQ189" s="16"/>
      <c r="CJR189" s="16"/>
      <c r="CJS189" s="16"/>
      <c r="CJT189" s="16"/>
      <c r="CJU189" s="16"/>
      <c r="CJV189" s="16"/>
      <c r="CJW189" s="16"/>
      <c r="CJX189" s="16"/>
      <c r="CJY189" s="16"/>
      <c r="CJZ189" s="16"/>
      <c r="CKA189" s="16"/>
      <c r="CKB189" s="16"/>
      <c r="CKC189" s="16"/>
      <c r="CKD189" s="16"/>
      <c r="CKE189" s="16"/>
      <c r="CKF189" s="16"/>
      <c r="CKG189" s="16"/>
      <c r="CKH189" s="16"/>
      <c r="CKI189" s="16"/>
      <c r="CKJ189" s="16"/>
      <c r="CKK189" s="16"/>
      <c r="CKL189" s="16"/>
      <c r="CKM189" s="16"/>
      <c r="CKN189" s="16"/>
      <c r="CKO189" s="16"/>
      <c r="CKP189" s="16"/>
      <c r="CKQ189" s="16"/>
      <c r="CKR189" s="16"/>
      <c r="CKS189" s="16"/>
      <c r="CKT189" s="16"/>
      <c r="CKU189" s="16"/>
      <c r="CKV189" s="16"/>
      <c r="CKW189" s="16"/>
      <c r="CKX189" s="16"/>
      <c r="CKY189" s="16"/>
      <c r="CKZ189" s="16"/>
      <c r="CLA189" s="16"/>
      <c r="CLB189" s="16"/>
      <c r="CLC189" s="16"/>
      <c r="CLD189" s="16"/>
      <c r="CLE189" s="16"/>
      <c r="CLF189" s="16"/>
      <c r="CLG189" s="16"/>
      <c r="CLH189" s="16"/>
      <c r="CLI189" s="16"/>
      <c r="CLJ189" s="16"/>
      <c r="CLK189" s="16"/>
      <c r="CLL189" s="16"/>
      <c r="CLM189" s="16"/>
      <c r="CLN189" s="16"/>
      <c r="CLO189" s="16"/>
      <c r="CLP189" s="16"/>
      <c r="CLQ189" s="16"/>
      <c r="CLR189" s="16"/>
      <c r="CLS189" s="16"/>
      <c r="CLT189" s="16"/>
      <c r="CLU189" s="16"/>
      <c r="CLV189" s="16"/>
      <c r="CLW189" s="16"/>
      <c r="CLX189" s="16"/>
      <c r="CLY189" s="16"/>
      <c r="CLZ189" s="16"/>
      <c r="CMA189" s="16"/>
      <c r="CMB189" s="16"/>
      <c r="CMC189" s="16"/>
      <c r="CMD189" s="16"/>
      <c r="CME189" s="16"/>
      <c r="CMF189" s="16"/>
      <c r="CMG189" s="16"/>
      <c r="CMH189" s="16"/>
      <c r="CMI189" s="16"/>
      <c r="CMJ189" s="16"/>
      <c r="CMK189" s="16"/>
      <c r="CML189" s="16"/>
      <c r="CMM189" s="16"/>
      <c r="CMN189" s="16"/>
      <c r="CMO189" s="16"/>
      <c r="CMP189" s="16"/>
      <c r="CMQ189" s="16"/>
      <c r="CMR189" s="16"/>
      <c r="CMS189" s="16"/>
      <c r="CMT189" s="16"/>
      <c r="CMU189" s="16"/>
      <c r="CMV189" s="16"/>
      <c r="CMW189" s="16"/>
      <c r="CMX189" s="16"/>
      <c r="CMY189" s="16"/>
      <c r="CMZ189" s="16"/>
      <c r="CNA189" s="16"/>
      <c r="CNB189" s="16"/>
      <c r="CNC189" s="16"/>
      <c r="CND189" s="16"/>
      <c r="CNE189" s="16"/>
      <c r="CNF189" s="16"/>
      <c r="CNG189" s="16"/>
      <c r="CNH189" s="16"/>
      <c r="CNI189" s="16"/>
      <c r="CNJ189" s="16"/>
      <c r="CNK189" s="16"/>
      <c r="CNL189" s="16"/>
      <c r="CNM189" s="16"/>
      <c r="CNN189" s="16"/>
      <c r="CNO189" s="16"/>
      <c r="CNP189" s="16"/>
      <c r="CNQ189" s="16"/>
      <c r="CNR189" s="16"/>
      <c r="CNS189" s="16"/>
      <c r="CNT189" s="16"/>
      <c r="CNU189" s="16"/>
      <c r="CNV189" s="16"/>
      <c r="CNW189" s="16"/>
      <c r="CNX189" s="16"/>
      <c r="CNY189" s="16"/>
      <c r="CNZ189" s="16"/>
      <c r="COA189" s="16"/>
      <c r="COB189" s="16"/>
      <c r="COC189" s="16"/>
      <c r="COD189" s="16"/>
      <c r="COE189" s="16"/>
      <c r="COF189" s="16"/>
      <c r="COG189" s="16"/>
      <c r="COH189" s="16"/>
      <c r="COI189" s="16"/>
      <c r="COJ189" s="16"/>
      <c r="COK189" s="16"/>
      <c r="COL189" s="16"/>
      <c r="COM189" s="16"/>
      <c r="CON189" s="16"/>
      <c r="COO189" s="16"/>
      <c r="COP189" s="16"/>
      <c r="COQ189" s="16"/>
      <c r="COR189" s="16"/>
      <c r="COS189" s="16"/>
      <c r="COT189" s="16"/>
      <c r="COU189" s="16"/>
      <c r="COV189" s="16"/>
      <c r="COW189" s="16"/>
      <c r="COX189" s="16"/>
      <c r="COY189" s="16"/>
      <c r="COZ189" s="16"/>
      <c r="CPA189" s="16"/>
      <c r="CPB189" s="16"/>
      <c r="CPC189" s="16"/>
      <c r="CPD189" s="16"/>
      <c r="CPE189" s="16"/>
      <c r="CPF189" s="16"/>
      <c r="CPG189" s="16"/>
      <c r="CPH189" s="16"/>
      <c r="CPI189" s="16"/>
      <c r="CPJ189" s="16"/>
      <c r="CPK189" s="16"/>
      <c r="CPL189" s="16"/>
      <c r="CPM189" s="16"/>
      <c r="CPN189" s="16"/>
      <c r="CPO189" s="16"/>
      <c r="CPP189" s="16"/>
      <c r="CPQ189" s="16"/>
      <c r="CPR189" s="16"/>
      <c r="CPS189" s="16"/>
      <c r="CPT189" s="16"/>
      <c r="CPU189" s="16"/>
      <c r="CPV189" s="16"/>
      <c r="CPW189" s="16"/>
      <c r="CPX189" s="16"/>
      <c r="CPY189" s="16"/>
      <c r="CPZ189" s="16"/>
      <c r="CQA189" s="16"/>
      <c r="CQB189" s="16"/>
      <c r="CQC189" s="16"/>
      <c r="CQD189" s="16"/>
      <c r="CQE189" s="16"/>
      <c r="CQF189" s="16"/>
      <c r="CQG189" s="16"/>
      <c r="CQH189" s="16"/>
      <c r="CQI189" s="16"/>
      <c r="CQJ189" s="16"/>
      <c r="CQK189" s="16"/>
      <c r="CQL189" s="16"/>
      <c r="CQM189" s="16"/>
      <c r="CQN189" s="16"/>
      <c r="CQO189" s="16"/>
      <c r="CQP189" s="16"/>
      <c r="CQQ189" s="16"/>
      <c r="CQR189" s="16"/>
      <c r="CQS189" s="16"/>
      <c r="CQT189" s="16"/>
      <c r="CQU189" s="16"/>
      <c r="CQV189" s="16"/>
      <c r="CQW189" s="16"/>
      <c r="CQX189" s="16"/>
      <c r="CQY189" s="16"/>
      <c r="CQZ189" s="16"/>
      <c r="CRA189" s="16"/>
      <c r="CRB189" s="16"/>
      <c r="CRC189" s="16"/>
      <c r="CRD189" s="16"/>
      <c r="CRE189" s="16"/>
      <c r="CRF189" s="16"/>
      <c r="CRG189" s="16"/>
      <c r="CRH189" s="16"/>
      <c r="CRI189" s="16"/>
      <c r="CRJ189" s="16"/>
      <c r="CRK189" s="16"/>
      <c r="CRL189" s="16"/>
      <c r="CRM189" s="16"/>
      <c r="CRN189" s="16"/>
      <c r="CRO189" s="16"/>
      <c r="CRP189" s="16"/>
      <c r="CRQ189" s="16"/>
      <c r="CRR189" s="16"/>
      <c r="CRS189" s="16"/>
      <c r="CRT189" s="16"/>
      <c r="CRU189" s="16"/>
      <c r="CRV189" s="16"/>
      <c r="CRW189" s="16"/>
      <c r="CRX189" s="16"/>
      <c r="CRY189" s="16"/>
      <c r="CRZ189" s="16"/>
      <c r="CSA189" s="16"/>
      <c r="CSB189" s="16"/>
      <c r="CSC189" s="16"/>
      <c r="CSD189" s="16"/>
      <c r="CSE189" s="16"/>
      <c r="CSF189" s="16"/>
      <c r="CSG189" s="16"/>
      <c r="CSH189" s="16"/>
      <c r="CSI189" s="16"/>
      <c r="CSJ189" s="16"/>
      <c r="CSK189" s="16"/>
      <c r="CSL189" s="16"/>
      <c r="CSM189" s="16"/>
      <c r="CSN189" s="16"/>
      <c r="CSO189" s="16"/>
      <c r="CSP189" s="16"/>
      <c r="CSQ189" s="16"/>
      <c r="CSR189" s="16"/>
      <c r="CSS189" s="16"/>
      <c r="CST189" s="16"/>
      <c r="CSU189" s="16"/>
      <c r="CSV189" s="16"/>
      <c r="CSW189" s="16"/>
      <c r="CSX189" s="16"/>
      <c r="CSY189" s="16"/>
      <c r="CSZ189" s="16"/>
      <c r="CTA189" s="16"/>
      <c r="CTB189" s="16"/>
      <c r="CTC189" s="16"/>
      <c r="CTD189" s="16"/>
      <c r="CTE189" s="16"/>
      <c r="CTF189" s="16"/>
      <c r="CTG189" s="16"/>
      <c r="CTH189" s="16"/>
      <c r="CTI189" s="16"/>
      <c r="CTJ189" s="16"/>
      <c r="CTK189" s="16"/>
      <c r="CTL189" s="16"/>
      <c r="CTM189" s="16"/>
      <c r="CTN189" s="16"/>
      <c r="CTO189" s="16"/>
      <c r="CTP189" s="16"/>
      <c r="CTQ189" s="16"/>
      <c r="CTR189" s="16"/>
      <c r="CTS189" s="16"/>
      <c r="CTT189" s="16"/>
      <c r="CTU189" s="16"/>
      <c r="CTV189" s="16"/>
      <c r="CTW189" s="16"/>
      <c r="CTX189" s="16"/>
      <c r="CTY189" s="16"/>
      <c r="CTZ189" s="16"/>
      <c r="CUA189" s="16"/>
      <c r="CUB189" s="16"/>
      <c r="CUC189" s="16"/>
      <c r="CUD189" s="16"/>
      <c r="CUE189" s="16"/>
      <c r="CUF189" s="16"/>
      <c r="CUG189" s="16"/>
      <c r="CUH189" s="16"/>
      <c r="CUI189" s="16"/>
      <c r="CUJ189" s="16"/>
      <c r="CUK189" s="16"/>
      <c r="CUL189" s="16"/>
      <c r="CUM189" s="16"/>
      <c r="CUN189" s="16"/>
      <c r="CUO189" s="16"/>
      <c r="CUP189" s="16"/>
      <c r="CUQ189" s="16"/>
      <c r="CUR189" s="16"/>
      <c r="CUS189" s="16"/>
      <c r="CUT189" s="16"/>
      <c r="CUU189" s="16"/>
      <c r="CUV189" s="16"/>
      <c r="CUW189" s="16"/>
      <c r="CUX189" s="16"/>
      <c r="CUY189" s="16"/>
      <c r="CUZ189" s="16"/>
      <c r="CVA189" s="16"/>
      <c r="CVB189" s="16"/>
      <c r="CVC189" s="16"/>
      <c r="CVD189" s="16"/>
      <c r="CVE189" s="16"/>
      <c r="CVF189" s="16"/>
      <c r="CVG189" s="16"/>
      <c r="CVH189" s="16"/>
      <c r="CVI189" s="16"/>
      <c r="CVJ189" s="16"/>
      <c r="CVK189" s="16"/>
      <c r="CVL189" s="16"/>
      <c r="CVM189" s="16"/>
      <c r="CVN189" s="16"/>
      <c r="CVO189" s="16"/>
      <c r="CVP189" s="16"/>
      <c r="CVQ189" s="16"/>
      <c r="CVR189" s="16"/>
      <c r="CVS189" s="16"/>
      <c r="CVT189" s="16"/>
      <c r="CVU189" s="16"/>
      <c r="CVV189" s="16"/>
      <c r="CVW189" s="16"/>
      <c r="CVX189" s="16"/>
      <c r="CVY189" s="16"/>
      <c r="CVZ189" s="16"/>
      <c r="CWA189" s="16"/>
      <c r="CWB189" s="16"/>
      <c r="CWC189" s="16"/>
      <c r="CWD189" s="16"/>
      <c r="CWE189" s="16"/>
      <c r="CWF189" s="16"/>
      <c r="CWG189" s="16"/>
      <c r="CWH189" s="16"/>
      <c r="CWI189" s="16"/>
      <c r="CWJ189" s="16"/>
      <c r="CWK189" s="16"/>
      <c r="CWL189" s="16"/>
      <c r="CWM189" s="16"/>
      <c r="CWN189" s="16"/>
      <c r="CWO189" s="16"/>
      <c r="CWP189" s="16"/>
      <c r="CWQ189" s="16"/>
      <c r="CWR189" s="16"/>
      <c r="CWS189" s="16"/>
      <c r="CWT189" s="16"/>
      <c r="CWU189" s="16"/>
      <c r="CWV189" s="16"/>
      <c r="CWW189" s="16"/>
      <c r="CWX189" s="16"/>
      <c r="CWY189" s="16"/>
      <c r="CWZ189" s="16"/>
      <c r="CXA189" s="16"/>
      <c r="CXB189" s="16"/>
      <c r="CXC189" s="16"/>
      <c r="CXD189" s="16"/>
      <c r="CXE189" s="16"/>
      <c r="CXF189" s="16"/>
      <c r="CXG189" s="16"/>
      <c r="CXH189" s="16"/>
      <c r="CXI189" s="16"/>
      <c r="CXJ189" s="16"/>
      <c r="CXK189" s="16"/>
      <c r="CXL189" s="16"/>
      <c r="CXM189" s="16"/>
      <c r="CXN189" s="16"/>
      <c r="CXO189" s="16"/>
      <c r="CXP189" s="16"/>
      <c r="CXQ189" s="16"/>
      <c r="CXR189" s="16"/>
      <c r="CXS189" s="16"/>
      <c r="CXT189" s="16"/>
      <c r="CXU189" s="16"/>
      <c r="CXV189" s="16"/>
      <c r="CXW189" s="16"/>
      <c r="CXX189" s="16"/>
      <c r="CXY189" s="16"/>
      <c r="CXZ189" s="16"/>
      <c r="CYA189" s="16"/>
      <c r="CYB189" s="16"/>
      <c r="CYC189" s="16"/>
      <c r="CYD189" s="16"/>
      <c r="CYE189" s="16"/>
      <c r="CYF189" s="16"/>
      <c r="CYG189" s="16"/>
      <c r="CYH189" s="16"/>
      <c r="CYI189" s="16"/>
      <c r="CYJ189" s="16"/>
      <c r="CYK189" s="16"/>
      <c r="CYL189" s="16"/>
      <c r="CYM189" s="16"/>
      <c r="CYN189" s="16"/>
      <c r="CYO189" s="16"/>
      <c r="CYP189" s="16"/>
      <c r="CYQ189" s="16"/>
      <c r="CYR189" s="16"/>
      <c r="CYS189" s="16"/>
      <c r="CYT189" s="16"/>
      <c r="CYU189" s="16"/>
      <c r="CYV189" s="16"/>
      <c r="CYW189" s="16"/>
      <c r="CYX189" s="16"/>
      <c r="CYY189" s="16"/>
      <c r="CYZ189" s="16"/>
      <c r="CZA189" s="16"/>
      <c r="CZB189" s="16"/>
      <c r="CZC189" s="16"/>
      <c r="CZD189" s="16"/>
      <c r="CZE189" s="16"/>
      <c r="CZF189" s="16"/>
      <c r="CZG189" s="16"/>
      <c r="CZH189" s="16"/>
      <c r="CZI189" s="16"/>
      <c r="CZJ189" s="16"/>
      <c r="CZK189" s="16"/>
      <c r="CZL189" s="16"/>
      <c r="CZM189" s="16"/>
      <c r="CZN189" s="16"/>
      <c r="CZO189" s="16"/>
      <c r="CZP189" s="16"/>
      <c r="CZQ189" s="16"/>
      <c r="CZR189" s="16"/>
      <c r="CZS189" s="16"/>
      <c r="CZT189" s="16"/>
      <c r="CZU189" s="16"/>
      <c r="CZV189" s="16"/>
      <c r="CZW189" s="16"/>
      <c r="CZX189" s="16"/>
      <c r="CZY189" s="16"/>
      <c r="CZZ189" s="16"/>
      <c r="DAA189" s="16"/>
      <c r="DAB189" s="16"/>
      <c r="DAC189" s="16"/>
      <c r="DAD189" s="16"/>
      <c r="DAE189" s="16"/>
      <c r="DAF189" s="16"/>
      <c r="DAG189" s="16"/>
      <c r="DAH189" s="16"/>
      <c r="DAI189" s="16"/>
      <c r="DAJ189" s="16"/>
      <c r="DAK189" s="16"/>
      <c r="DAL189" s="16"/>
      <c r="DAM189" s="16"/>
      <c r="DAN189" s="16"/>
      <c r="DAO189" s="16"/>
      <c r="DAP189" s="16"/>
      <c r="DAQ189" s="16"/>
      <c r="DAR189" s="16"/>
      <c r="DAS189" s="16"/>
      <c r="DAT189" s="16"/>
      <c r="DAU189" s="16"/>
      <c r="DAV189" s="16"/>
      <c r="DAW189" s="16"/>
      <c r="DAX189" s="16"/>
      <c r="DAY189" s="16"/>
      <c r="DAZ189" s="16"/>
      <c r="DBA189" s="16"/>
      <c r="DBB189" s="16"/>
      <c r="DBC189" s="16"/>
      <c r="DBD189" s="16"/>
      <c r="DBE189" s="16"/>
      <c r="DBF189" s="16"/>
      <c r="DBG189" s="16"/>
      <c r="DBH189" s="16"/>
      <c r="DBI189" s="16"/>
      <c r="DBJ189" s="16"/>
      <c r="DBK189" s="16"/>
      <c r="DBL189" s="16"/>
      <c r="DBM189" s="16"/>
      <c r="DBN189" s="16"/>
      <c r="DBO189" s="16"/>
      <c r="DBP189" s="16"/>
      <c r="DBQ189" s="16"/>
      <c r="DBR189" s="16"/>
      <c r="DBS189" s="16"/>
      <c r="DBT189" s="16"/>
      <c r="DBU189" s="16"/>
      <c r="DBV189" s="16"/>
      <c r="DBW189" s="16"/>
      <c r="DBX189" s="16"/>
      <c r="DBY189" s="16"/>
      <c r="DBZ189" s="16"/>
      <c r="DCA189" s="16"/>
      <c r="DCB189" s="16"/>
      <c r="DCC189" s="16"/>
      <c r="DCD189" s="16"/>
      <c r="DCE189" s="16"/>
      <c r="DCF189" s="16"/>
      <c r="DCG189" s="16"/>
      <c r="DCH189" s="16"/>
      <c r="DCI189" s="16"/>
      <c r="DCJ189" s="16"/>
      <c r="DCK189" s="16"/>
      <c r="DCL189" s="16"/>
      <c r="DCM189" s="16"/>
      <c r="DCN189" s="16"/>
      <c r="DCO189" s="16"/>
      <c r="DCP189" s="16"/>
      <c r="DCQ189" s="16"/>
      <c r="DCR189" s="16"/>
      <c r="DCS189" s="16"/>
      <c r="DCT189" s="16"/>
      <c r="DCU189" s="16"/>
      <c r="DCV189" s="16"/>
      <c r="DCW189" s="16"/>
      <c r="DCX189" s="16"/>
      <c r="DCY189" s="16"/>
      <c r="DCZ189" s="16"/>
      <c r="DDA189" s="16"/>
      <c r="DDB189" s="16"/>
      <c r="DDC189" s="16"/>
      <c r="DDD189" s="16"/>
      <c r="DDE189" s="16"/>
      <c r="DDF189" s="16"/>
      <c r="DDG189" s="16"/>
      <c r="DDH189" s="16"/>
      <c r="DDI189" s="16"/>
      <c r="DDJ189" s="16"/>
      <c r="DDK189" s="16"/>
      <c r="DDL189" s="16"/>
      <c r="DDM189" s="16"/>
      <c r="DDN189" s="16"/>
      <c r="DDO189" s="16"/>
      <c r="DDP189" s="16"/>
      <c r="DDQ189" s="16"/>
      <c r="DDR189" s="16"/>
      <c r="DDS189" s="16"/>
      <c r="DDT189" s="16"/>
      <c r="DDU189" s="16"/>
      <c r="DDV189" s="16"/>
      <c r="DDW189" s="16"/>
      <c r="DDX189" s="16"/>
      <c r="DDY189" s="16"/>
      <c r="DDZ189" s="16"/>
      <c r="DEA189" s="16"/>
      <c r="DEB189" s="16"/>
      <c r="DEC189" s="16"/>
      <c r="DED189" s="16"/>
      <c r="DEE189" s="16"/>
      <c r="DEF189" s="16"/>
      <c r="DEG189" s="16"/>
      <c r="DEH189" s="16"/>
      <c r="DEI189" s="16"/>
      <c r="DEJ189" s="16"/>
      <c r="DEK189" s="16"/>
      <c r="DEL189" s="16"/>
      <c r="DEM189" s="16"/>
      <c r="DEN189" s="16"/>
      <c r="DEO189" s="16"/>
      <c r="DEP189" s="16"/>
      <c r="DEQ189" s="16"/>
      <c r="DER189" s="16"/>
      <c r="DES189" s="16"/>
      <c r="DET189" s="16"/>
      <c r="DEU189" s="16"/>
      <c r="DEV189" s="16"/>
      <c r="DEW189" s="16"/>
      <c r="DEX189" s="16"/>
      <c r="DEY189" s="16"/>
      <c r="DEZ189" s="16"/>
      <c r="DFA189" s="16"/>
      <c r="DFB189" s="16"/>
      <c r="DFC189" s="16"/>
      <c r="DFD189" s="16"/>
      <c r="DFE189" s="16"/>
      <c r="DFF189" s="16"/>
      <c r="DFG189" s="16"/>
      <c r="DFH189" s="16"/>
      <c r="DFI189" s="16"/>
      <c r="DFJ189" s="16"/>
      <c r="DFK189" s="16"/>
      <c r="DFL189" s="16"/>
      <c r="DFM189" s="16"/>
      <c r="DFN189" s="16"/>
      <c r="DFO189" s="16"/>
      <c r="DFP189" s="16"/>
      <c r="DFQ189" s="16"/>
      <c r="DFR189" s="16"/>
      <c r="DFS189" s="16"/>
      <c r="DFT189" s="16"/>
      <c r="DFU189" s="16"/>
      <c r="DFV189" s="16"/>
      <c r="DFW189" s="16"/>
      <c r="DFX189" s="16"/>
      <c r="DFY189" s="16"/>
      <c r="DFZ189" s="16"/>
      <c r="DGA189" s="16"/>
      <c r="DGB189" s="16"/>
      <c r="DGC189" s="16"/>
      <c r="DGD189" s="16"/>
      <c r="DGE189" s="16"/>
      <c r="DGF189" s="16"/>
      <c r="DGG189" s="16"/>
      <c r="DGH189" s="16"/>
      <c r="DGI189" s="16"/>
      <c r="DGJ189" s="16"/>
      <c r="DGK189" s="16"/>
      <c r="DGL189" s="16"/>
      <c r="DGM189" s="16"/>
      <c r="DGN189" s="16"/>
      <c r="DGO189" s="16"/>
      <c r="DGP189" s="16"/>
      <c r="DGQ189" s="16"/>
      <c r="DGR189" s="16"/>
      <c r="DGS189" s="16"/>
      <c r="DGT189" s="16"/>
      <c r="DGU189" s="16"/>
      <c r="DGV189" s="16"/>
      <c r="DGW189" s="16"/>
      <c r="DGX189" s="16"/>
      <c r="DGY189" s="16"/>
      <c r="DGZ189" s="16"/>
      <c r="DHA189" s="16"/>
      <c r="DHB189" s="16"/>
      <c r="DHC189" s="16"/>
      <c r="DHD189" s="16"/>
      <c r="DHE189" s="16"/>
      <c r="DHF189" s="16"/>
      <c r="DHG189" s="16"/>
      <c r="DHH189" s="16"/>
      <c r="DHI189" s="16"/>
      <c r="DHJ189" s="16"/>
      <c r="DHK189" s="16"/>
      <c r="DHL189" s="16"/>
      <c r="DHM189" s="16"/>
      <c r="DHN189" s="16"/>
      <c r="DHO189" s="16"/>
      <c r="DHP189" s="16"/>
      <c r="DHQ189" s="16"/>
      <c r="DHR189" s="16"/>
      <c r="DHS189" s="16"/>
      <c r="DHT189" s="16"/>
      <c r="DHU189" s="16"/>
      <c r="DHV189" s="16"/>
      <c r="DHW189" s="16"/>
      <c r="DHX189" s="16"/>
      <c r="DHY189" s="16"/>
      <c r="DHZ189" s="16"/>
      <c r="DIA189" s="16"/>
      <c r="DIB189" s="16"/>
      <c r="DIC189" s="16"/>
      <c r="DID189" s="16"/>
      <c r="DIE189" s="16"/>
      <c r="DIF189" s="16"/>
      <c r="DIG189" s="16"/>
      <c r="DIH189" s="16"/>
      <c r="DII189" s="16"/>
      <c r="DIJ189" s="16"/>
      <c r="DIK189" s="16"/>
      <c r="DIL189" s="16"/>
      <c r="DIM189" s="16"/>
      <c r="DIN189" s="16"/>
      <c r="DIO189" s="16"/>
      <c r="DIP189" s="16"/>
      <c r="DIQ189" s="16"/>
      <c r="DIR189" s="16"/>
      <c r="DIS189" s="16"/>
      <c r="DIT189" s="16"/>
      <c r="DIU189" s="16"/>
      <c r="DIV189" s="16"/>
      <c r="DIW189" s="16"/>
      <c r="DIX189" s="16"/>
      <c r="DIY189" s="16"/>
      <c r="DIZ189" s="16"/>
      <c r="DJA189" s="16"/>
      <c r="DJB189" s="16"/>
      <c r="DJC189" s="16"/>
      <c r="DJD189" s="16"/>
      <c r="DJE189" s="16"/>
      <c r="DJF189" s="16"/>
      <c r="DJG189" s="16"/>
      <c r="DJH189" s="16"/>
      <c r="DJI189" s="16"/>
      <c r="DJJ189" s="16"/>
      <c r="DJK189" s="16"/>
      <c r="DJL189" s="16"/>
      <c r="DJM189" s="16"/>
      <c r="DJN189" s="16"/>
      <c r="DJO189" s="16"/>
      <c r="DJP189" s="16"/>
      <c r="DJQ189" s="16"/>
      <c r="DJR189" s="16"/>
      <c r="DJS189" s="16"/>
      <c r="DJT189" s="16"/>
      <c r="DJU189" s="16"/>
      <c r="DJV189" s="16"/>
      <c r="DJW189" s="16"/>
      <c r="DJX189" s="16"/>
      <c r="DJY189" s="16"/>
      <c r="DJZ189" s="16"/>
      <c r="DKA189" s="16"/>
      <c r="DKB189" s="16"/>
      <c r="DKC189" s="16"/>
      <c r="DKD189" s="16"/>
      <c r="DKE189" s="16"/>
      <c r="DKF189" s="16"/>
      <c r="DKG189" s="16"/>
      <c r="DKH189" s="16"/>
      <c r="DKI189" s="16"/>
      <c r="DKJ189" s="16"/>
      <c r="DKK189" s="16"/>
      <c r="DKL189" s="16"/>
      <c r="DKM189" s="16"/>
      <c r="DKN189" s="16"/>
      <c r="DKO189" s="16"/>
      <c r="DKP189" s="16"/>
      <c r="DKQ189" s="16"/>
      <c r="DKR189" s="16"/>
      <c r="DKS189" s="16"/>
      <c r="DKT189" s="16"/>
      <c r="DKU189" s="16"/>
      <c r="DKV189" s="16"/>
      <c r="DKW189" s="16"/>
      <c r="DKX189" s="16"/>
      <c r="DKY189" s="16"/>
      <c r="DKZ189" s="16"/>
      <c r="DLA189" s="16"/>
      <c r="DLB189" s="16"/>
      <c r="DLC189" s="16"/>
      <c r="DLD189" s="16"/>
      <c r="DLE189" s="16"/>
      <c r="DLF189" s="16"/>
      <c r="DLG189" s="16"/>
      <c r="DLH189" s="16"/>
      <c r="DLI189" s="16"/>
      <c r="DLJ189" s="16"/>
      <c r="DLK189" s="16"/>
      <c r="DLL189" s="16"/>
      <c r="DLM189" s="16"/>
      <c r="DLN189" s="16"/>
      <c r="DLO189" s="16"/>
      <c r="DLP189" s="16"/>
      <c r="DLQ189" s="16"/>
      <c r="DLR189" s="16"/>
      <c r="DLS189" s="16"/>
      <c r="DLT189" s="16"/>
      <c r="DLU189" s="16"/>
      <c r="DLV189" s="16"/>
      <c r="DLW189" s="16"/>
      <c r="DLX189" s="16"/>
      <c r="DLY189" s="16"/>
      <c r="DLZ189" s="16"/>
      <c r="DMA189" s="16"/>
      <c r="DMB189" s="16"/>
      <c r="DMC189" s="16"/>
      <c r="DMD189" s="16"/>
      <c r="DME189" s="16"/>
      <c r="DMF189" s="16"/>
      <c r="DMG189" s="16"/>
      <c r="DMH189" s="16"/>
      <c r="DMI189" s="16"/>
      <c r="DMJ189" s="16"/>
      <c r="DMK189" s="16"/>
      <c r="DML189" s="16"/>
      <c r="DMM189" s="16"/>
      <c r="DMN189" s="16"/>
      <c r="DMO189" s="16"/>
      <c r="DMP189" s="16"/>
      <c r="DMQ189" s="16"/>
      <c r="DMR189" s="16"/>
      <c r="DMS189" s="16"/>
      <c r="DMT189" s="16"/>
      <c r="DMU189" s="16"/>
      <c r="DMV189" s="16"/>
      <c r="DMW189" s="16"/>
      <c r="DMX189" s="16"/>
      <c r="DMY189" s="16"/>
      <c r="DMZ189" s="16"/>
      <c r="DNA189" s="16"/>
      <c r="DNB189" s="16"/>
      <c r="DNC189" s="16"/>
      <c r="DND189" s="16"/>
      <c r="DNE189" s="16"/>
      <c r="DNF189" s="16"/>
      <c r="DNG189" s="16"/>
      <c r="DNH189" s="16"/>
      <c r="DNI189" s="16"/>
      <c r="DNJ189" s="16"/>
      <c r="DNK189" s="16"/>
      <c r="DNL189" s="16"/>
      <c r="DNM189" s="16"/>
      <c r="DNN189" s="16"/>
      <c r="DNO189" s="16"/>
      <c r="DNP189" s="16"/>
      <c r="DNQ189" s="16"/>
      <c r="DNR189" s="16"/>
      <c r="DNS189" s="16"/>
      <c r="DNT189" s="16"/>
      <c r="DNU189" s="16"/>
      <c r="DNV189" s="16"/>
      <c r="DNW189" s="16"/>
      <c r="DNX189" s="16"/>
      <c r="DNY189" s="16"/>
      <c r="DNZ189" s="16"/>
      <c r="DOA189" s="16"/>
      <c r="DOB189" s="16"/>
      <c r="DOC189" s="16"/>
      <c r="DOD189" s="16"/>
      <c r="DOE189" s="16"/>
      <c r="DOF189" s="16"/>
      <c r="DOG189" s="16"/>
      <c r="DOH189" s="16"/>
      <c r="DOI189" s="16"/>
      <c r="DOJ189" s="16"/>
      <c r="DOK189" s="16"/>
      <c r="DOL189" s="16"/>
      <c r="DOM189" s="16"/>
      <c r="DON189" s="16"/>
      <c r="DOO189" s="16"/>
      <c r="DOP189" s="16"/>
      <c r="DOQ189" s="16"/>
      <c r="DOR189" s="16"/>
      <c r="DOS189" s="16"/>
      <c r="DOT189" s="16"/>
      <c r="DOU189" s="16"/>
      <c r="DOV189" s="16"/>
      <c r="DOW189" s="16"/>
      <c r="DOX189" s="16"/>
      <c r="DOY189" s="16"/>
      <c r="DOZ189" s="16"/>
      <c r="DPA189" s="16"/>
      <c r="DPB189" s="16"/>
      <c r="DPC189" s="16"/>
      <c r="DPD189" s="16"/>
      <c r="DPE189" s="16"/>
      <c r="DPF189" s="16"/>
      <c r="DPG189" s="16"/>
      <c r="DPH189" s="16"/>
      <c r="DPI189" s="16"/>
      <c r="DPJ189" s="16"/>
      <c r="DPK189" s="16"/>
      <c r="DPL189" s="16"/>
      <c r="DPM189" s="16"/>
      <c r="DPN189" s="16"/>
      <c r="DPO189" s="16"/>
      <c r="DPP189" s="16"/>
      <c r="DPQ189" s="16"/>
      <c r="DPR189" s="16"/>
      <c r="DPS189" s="16"/>
      <c r="DPT189" s="16"/>
      <c r="DPU189" s="16"/>
      <c r="DPV189" s="16"/>
      <c r="DPW189" s="16"/>
      <c r="DPX189" s="16"/>
      <c r="DPY189" s="16"/>
      <c r="DPZ189" s="16"/>
      <c r="DQA189" s="16"/>
      <c r="DQB189" s="16"/>
      <c r="DQC189" s="16"/>
      <c r="DQD189" s="16"/>
      <c r="DQE189" s="16"/>
      <c r="DQF189" s="16"/>
      <c r="DQG189" s="16"/>
      <c r="DQH189" s="16"/>
      <c r="DQI189" s="16"/>
      <c r="DQJ189" s="16"/>
      <c r="DQK189" s="16"/>
      <c r="DQL189" s="16"/>
      <c r="DQM189" s="16"/>
      <c r="DQN189" s="16"/>
      <c r="DQO189" s="16"/>
      <c r="DQP189" s="16"/>
      <c r="DQQ189" s="16"/>
      <c r="DQR189" s="16"/>
      <c r="DQS189" s="16"/>
      <c r="DQT189" s="16"/>
      <c r="DQU189" s="16"/>
      <c r="DQV189" s="16"/>
      <c r="DQW189" s="16"/>
      <c r="DQX189" s="16"/>
      <c r="DQY189" s="16"/>
      <c r="DQZ189" s="16"/>
      <c r="DRA189" s="16"/>
      <c r="DRB189" s="16"/>
      <c r="DRC189" s="16"/>
      <c r="DRD189" s="16"/>
      <c r="DRE189" s="16"/>
      <c r="DRF189" s="16"/>
      <c r="DRG189" s="16"/>
      <c r="DRH189" s="16"/>
      <c r="DRI189" s="16"/>
      <c r="DRJ189" s="16"/>
      <c r="DRK189" s="16"/>
      <c r="DRL189" s="16"/>
      <c r="DRM189" s="16"/>
      <c r="DRN189" s="16"/>
      <c r="DRO189" s="16"/>
      <c r="DRP189" s="16"/>
      <c r="DRQ189" s="16"/>
      <c r="DRR189" s="16"/>
      <c r="DRS189" s="16"/>
      <c r="DRT189" s="16"/>
      <c r="DRU189" s="16"/>
      <c r="DRV189" s="16"/>
      <c r="DRW189" s="16"/>
      <c r="DRX189" s="16"/>
      <c r="DRY189" s="16"/>
      <c r="DRZ189" s="16"/>
      <c r="DSA189" s="16"/>
      <c r="DSB189" s="16"/>
      <c r="DSC189" s="16"/>
      <c r="DSD189" s="16"/>
      <c r="DSE189" s="16"/>
      <c r="DSF189" s="16"/>
      <c r="DSG189" s="16"/>
      <c r="DSH189" s="16"/>
      <c r="DSI189" s="16"/>
      <c r="DSJ189" s="16"/>
      <c r="DSK189" s="16"/>
      <c r="DSL189" s="16"/>
      <c r="DSM189" s="16"/>
      <c r="DSN189" s="16"/>
      <c r="DSO189" s="16"/>
      <c r="DSP189" s="16"/>
      <c r="DSQ189" s="16"/>
      <c r="DSR189" s="16"/>
      <c r="DSS189" s="16"/>
      <c r="DST189" s="16"/>
      <c r="DSU189" s="16"/>
      <c r="DSV189" s="16"/>
      <c r="DSW189" s="16"/>
      <c r="DSX189" s="16"/>
      <c r="DSY189" s="16"/>
      <c r="DSZ189" s="16"/>
      <c r="DTA189" s="16"/>
      <c r="DTB189" s="16"/>
      <c r="DTC189" s="16"/>
      <c r="DTD189" s="16"/>
      <c r="DTE189" s="16"/>
      <c r="DTF189" s="16"/>
      <c r="DTG189" s="16"/>
      <c r="DTH189" s="16"/>
      <c r="DTI189" s="16"/>
      <c r="DTJ189" s="16"/>
      <c r="DTK189" s="16"/>
      <c r="DTL189" s="16"/>
      <c r="DTM189" s="16"/>
      <c r="DTN189" s="16"/>
      <c r="DTO189" s="16"/>
      <c r="DTP189" s="16"/>
      <c r="DTQ189" s="16"/>
      <c r="DTR189" s="16"/>
      <c r="DTS189" s="16"/>
      <c r="DTT189" s="16"/>
      <c r="DTU189" s="16"/>
      <c r="DTV189" s="16"/>
      <c r="DTW189" s="16"/>
      <c r="DTX189" s="16"/>
      <c r="DTY189" s="16"/>
      <c r="DTZ189" s="16"/>
      <c r="DUA189" s="16"/>
      <c r="DUB189" s="16"/>
      <c r="DUC189" s="16"/>
      <c r="DUD189" s="16"/>
      <c r="DUE189" s="16"/>
      <c r="DUF189" s="16"/>
      <c r="DUG189" s="16"/>
      <c r="DUH189" s="16"/>
      <c r="DUI189" s="16"/>
      <c r="DUJ189" s="16"/>
      <c r="DUK189" s="16"/>
      <c r="DUL189" s="16"/>
      <c r="DUM189" s="16"/>
      <c r="DUN189" s="16"/>
      <c r="DUO189" s="16"/>
      <c r="DUP189" s="16"/>
      <c r="DUQ189" s="16"/>
      <c r="DUR189" s="16"/>
      <c r="DUS189" s="16"/>
      <c r="DUT189" s="16"/>
      <c r="DUU189" s="16"/>
      <c r="DUV189" s="16"/>
      <c r="DUW189" s="16"/>
      <c r="DUX189" s="16"/>
      <c r="DUY189" s="16"/>
      <c r="DUZ189" s="16"/>
      <c r="DVA189" s="16"/>
      <c r="DVB189" s="16"/>
      <c r="DVC189" s="16"/>
      <c r="DVD189" s="16"/>
      <c r="DVE189" s="16"/>
      <c r="DVF189" s="16"/>
      <c r="DVG189" s="16"/>
      <c r="DVH189" s="16"/>
      <c r="DVI189" s="16"/>
      <c r="DVJ189" s="16"/>
      <c r="DVK189" s="16"/>
      <c r="DVL189" s="16"/>
      <c r="DVM189" s="16"/>
      <c r="DVN189" s="16"/>
      <c r="DVO189" s="16"/>
      <c r="DVP189" s="16"/>
      <c r="DVQ189" s="16"/>
      <c r="DVR189" s="16"/>
      <c r="DVS189" s="16"/>
      <c r="DVT189" s="16"/>
      <c r="DVU189" s="16"/>
      <c r="DVV189" s="16"/>
      <c r="DVW189" s="16"/>
      <c r="DVX189" s="16"/>
      <c r="DVY189" s="16"/>
      <c r="DVZ189" s="16"/>
      <c r="DWA189" s="16"/>
      <c r="DWB189" s="16"/>
      <c r="DWC189" s="16"/>
      <c r="DWD189" s="16"/>
      <c r="DWE189" s="16"/>
      <c r="DWF189" s="16"/>
      <c r="DWG189" s="16"/>
      <c r="DWH189" s="16"/>
      <c r="DWI189" s="16"/>
      <c r="DWJ189" s="16"/>
      <c r="DWK189" s="16"/>
      <c r="DWL189" s="16"/>
      <c r="DWM189" s="16"/>
      <c r="DWN189" s="16"/>
      <c r="DWO189" s="16"/>
      <c r="DWP189" s="16"/>
      <c r="DWQ189" s="16"/>
      <c r="DWR189" s="16"/>
      <c r="DWS189" s="16"/>
      <c r="DWT189" s="16"/>
      <c r="DWU189" s="16"/>
      <c r="DWV189" s="16"/>
      <c r="DWW189" s="16"/>
      <c r="DWX189" s="16"/>
      <c r="DWY189" s="16"/>
      <c r="DWZ189" s="16"/>
      <c r="DXA189" s="16"/>
      <c r="DXB189" s="16"/>
      <c r="DXC189" s="16"/>
      <c r="DXD189" s="16"/>
      <c r="DXE189" s="16"/>
      <c r="DXF189" s="16"/>
      <c r="DXG189" s="16"/>
      <c r="DXH189" s="16"/>
      <c r="DXI189" s="16"/>
      <c r="DXJ189" s="16"/>
      <c r="DXK189" s="16"/>
      <c r="DXL189" s="16"/>
      <c r="DXM189" s="16"/>
      <c r="DXN189" s="16"/>
      <c r="DXO189" s="16"/>
      <c r="DXP189" s="16"/>
      <c r="DXQ189" s="16"/>
      <c r="DXR189" s="16"/>
      <c r="DXS189" s="16"/>
      <c r="DXT189" s="16"/>
      <c r="DXU189" s="16"/>
      <c r="DXV189" s="16"/>
      <c r="DXW189" s="16"/>
      <c r="DXX189" s="16"/>
      <c r="DXY189" s="16"/>
      <c r="DXZ189" s="16"/>
      <c r="DYA189" s="16"/>
      <c r="DYB189" s="16"/>
      <c r="DYC189" s="16"/>
      <c r="DYD189" s="16"/>
      <c r="DYE189" s="16"/>
      <c r="DYF189" s="16"/>
      <c r="DYG189" s="16"/>
      <c r="DYH189" s="16"/>
      <c r="DYI189" s="16"/>
      <c r="DYJ189" s="16"/>
      <c r="DYK189" s="16"/>
      <c r="DYL189" s="16"/>
      <c r="DYM189" s="16"/>
      <c r="DYN189" s="16"/>
      <c r="DYO189" s="16"/>
      <c r="DYP189" s="16"/>
      <c r="DYQ189" s="16"/>
      <c r="DYR189" s="16"/>
      <c r="DYS189" s="16"/>
      <c r="DYT189" s="16"/>
      <c r="DYU189" s="16"/>
      <c r="DYV189" s="16"/>
      <c r="DYW189" s="16"/>
      <c r="DYX189" s="16"/>
      <c r="DYY189" s="16"/>
      <c r="DYZ189" s="16"/>
      <c r="DZA189" s="16"/>
      <c r="DZB189" s="16"/>
      <c r="DZC189" s="16"/>
      <c r="DZD189" s="16"/>
      <c r="DZE189" s="16"/>
      <c r="DZF189" s="16"/>
      <c r="DZG189" s="16"/>
      <c r="DZH189" s="16"/>
      <c r="DZI189" s="16"/>
      <c r="DZJ189" s="16"/>
      <c r="DZK189" s="16"/>
      <c r="DZL189" s="16"/>
      <c r="DZM189" s="16"/>
      <c r="DZN189" s="16"/>
      <c r="DZO189" s="16"/>
      <c r="DZP189" s="16"/>
      <c r="DZQ189" s="16"/>
      <c r="DZR189" s="16"/>
      <c r="DZS189" s="16"/>
      <c r="DZT189" s="16"/>
      <c r="DZU189" s="16"/>
      <c r="DZV189" s="16"/>
      <c r="DZW189" s="16"/>
      <c r="DZX189" s="16"/>
      <c r="DZY189" s="16"/>
      <c r="DZZ189" s="16"/>
      <c r="EAA189" s="16"/>
      <c r="EAB189" s="16"/>
      <c r="EAC189" s="16"/>
      <c r="EAD189" s="16"/>
      <c r="EAE189" s="16"/>
      <c r="EAF189" s="16"/>
      <c r="EAG189" s="16"/>
      <c r="EAH189" s="16"/>
      <c r="EAI189" s="16"/>
      <c r="EAJ189" s="16"/>
      <c r="EAK189" s="16"/>
      <c r="EAL189" s="16"/>
      <c r="EAM189" s="16"/>
      <c r="EAN189" s="16"/>
      <c r="EAO189" s="16"/>
      <c r="EAP189" s="16"/>
      <c r="EAQ189" s="16"/>
      <c r="EAR189" s="16"/>
      <c r="EAS189" s="16"/>
      <c r="EAT189" s="16"/>
      <c r="EAU189" s="16"/>
      <c r="EAV189" s="16"/>
      <c r="EAW189" s="16"/>
      <c r="EAX189" s="16"/>
      <c r="EAY189" s="16"/>
      <c r="EAZ189" s="16"/>
      <c r="EBA189" s="16"/>
      <c r="EBB189" s="16"/>
      <c r="EBC189" s="16"/>
      <c r="EBD189" s="16"/>
      <c r="EBE189" s="16"/>
      <c r="EBF189" s="16"/>
      <c r="EBG189" s="16"/>
      <c r="EBH189" s="16"/>
      <c r="EBI189" s="16"/>
      <c r="EBJ189" s="16"/>
      <c r="EBK189" s="16"/>
      <c r="EBL189" s="16"/>
      <c r="EBM189" s="16"/>
      <c r="EBN189" s="16"/>
      <c r="EBO189" s="16"/>
      <c r="EBP189" s="16"/>
      <c r="EBQ189" s="16"/>
      <c r="EBR189" s="16"/>
      <c r="EBS189" s="16"/>
      <c r="EBT189" s="16"/>
      <c r="EBU189" s="16"/>
      <c r="EBV189" s="16"/>
      <c r="EBW189" s="16"/>
      <c r="EBX189" s="16"/>
      <c r="EBY189" s="16"/>
      <c r="EBZ189" s="16"/>
      <c r="ECA189" s="16"/>
      <c r="ECB189" s="16"/>
      <c r="ECC189" s="16"/>
      <c r="ECD189" s="16"/>
      <c r="ECE189" s="16"/>
      <c r="ECF189" s="16"/>
      <c r="ECG189" s="16"/>
      <c r="ECH189" s="16"/>
      <c r="ECI189" s="16"/>
      <c r="ECJ189" s="16"/>
      <c r="ECK189" s="16"/>
      <c r="ECL189" s="16"/>
      <c r="ECM189" s="16"/>
      <c r="ECN189" s="16"/>
      <c r="ECO189" s="16"/>
      <c r="ECP189" s="16"/>
      <c r="ECQ189" s="16"/>
      <c r="ECR189" s="16"/>
      <c r="ECS189" s="16"/>
      <c r="ECT189" s="16"/>
      <c r="ECU189" s="16"/>
      <c r="ECV189" s="16"/>
      <c r="ECW189" s="16"/>
      <c r="ECX189" s="16"/>
      <c r="ECY189" s="16"/>
      <c r="ECZ189" s="16"/>
      <c r="EDA189" s="16"/>
      <c r="EDB189" s="16"/>
      <c r="EDC189" s="16"/>
      <c r="EDD189" s="16"/>
      <c r="EDE189" s="16"/>
      <c r="EDF189" s="16"/>
      <c r="EDG189" s="16"/>
      <c r="EDH189" s="16"/>
      <c r="EDI189" s="16"/>
      <c r="EDJ189" s="16"/>
      <c r="EDK189" s="16"/>
      <c r="EDL189" s="16"/>
      <c r="EDM189" s="16"/>
      <c r="EDN189" s="16"/>
      <c r="EDO189" s="16"/>
      <c r="EDP189" s="16"/>
      <c r="EDQ189" s="16"/>
      <c r="EDR189" s="16"/>
      <c r="EDS189" s="16"/>
      <c r="EDT189" s="16"/>
      <c r="EDU189" s="16"/>
      <c r="EDV189" s="16"/>
      <c r="EDW189" s="16"/>
      <c r="EDX189" s="16"/>
      <c r="EDY189" s="16"/>
      <c r="EDZ189" s="16"/>
      <c r="EEA189" s="16"/>
      <c r="EEB189" s="16"/>
      <c r="EEC189" s="16"/>
      <c r="EED189" s="16"/>
      <c r="EEE189" s="16"/>
      <c r="EEF189" s="16"/>
      <c r="EEG189" s="16"/>
      <c r="EEH189" s="16"/>
      <c r="EEI189" s="16"/>
      <c r="EEJ189" s="16"/>
      <c r="EEK189" s="16"/>
      <c r="EEL189" s="16"/>
      <c r="EEM189" s="16"/>
      <c r="EEN189" s="16"/>
      <c r="EEO189" s="16"/>
      <c r="EEP189" s="16"/>
      <c r="EEQ189" s="16"/>
      <c r="EER189" s="16"/>
      <c r="EES189" s="16"/>
      <c r="EET189" s="16"/>
      <c r="EEU189" s="16"/>
      <c r="EEV189" s="16"/>
      <c r="EEW189" s="16"/>
      <c r="EEX189" s="16"/>
      <c r="EEY189" s="16"/>
      <c r="EEZ189" s="16"/>
      <c r="EFA189" s="16"/>
      <c r="EFB189" s="16"/>
      <c r="EFC189" s="16"/>
      <c r="EFD189" s="16"/>
      <c r="EFE189" s="16"/>
      <c r="EFF189" s="16"/>
      <c r="EFG189" s="16"/>
      <c r="EFH189" s="16"/>
      <c r="EFI189" s="16"/>
      <c r="EFJ189" s="16"/>
      <c r="EFK189" s="16"/>
      <c r="EFL189" s="16"/>
      <c r="EFM189" s="16"/>
      <c r="EFN189" s="16"/>
      <c r="EFO189" s="16"/>
      <c r="EFP189" s="16"/>
      <c r="EFQ189" s="16"/>
      <c r="EFR189" s="16"/>
      <c r="EFS189" s="16"/>
      <c r="EFT189" s="16"/>
      <c r="EFU189" s="16"/>
      <c r="EFV189" s="16"/>
      <c r="EFW189" s="16"/>
      <c r="EFX189" s="16"/>
      <c r="EFY189" s="16"/>
      <c r="EFZ189" s="16"/>
      <c r="EGA189" s="16"/>
      <c r="EGB189" s="16"/>
      <c r="EGC189" s="16"/>
      <c r="EGD189" s="16"/>
      <c r="EGE189" s="16"/>
      <c r="EGF189" s="16"/>
      <c r="EGG189" s="16"/>
      <c r="EGH189" s="16"/>
      <c r="EGI189" s="16"/>
      <c r="EGJ189" s="16"/>
      <c r="EGK189" s="16"/>
      <c r="EGL189" s="16"/>
      <c r="EGM189" s="16"/>
      <c r="EGN189" s="16"/>
      <c r="EGO189" s="16"/>
      <c r="EGP189" s="16"/>
      <c r="EGQ189" s="16"/>
      <c r="EGR189" s="16"/>
      <c r="EGS189" s="16"/>
      <c r="EGT189" s="16"/>
      <c r="EGU189" s="16"/>
      <c r="EGV189" s="16"/>
      <c r="EGW189" s="16"/>
      <c r="EGX189" s="16"/>
      <c r="EGY189" s="16"/>
      <c r="EGZ189" s="16"/>
      <c r="EHA189" s="16"/>
      <c r="EHB189" s="16"/>
      <c r="EHC189" s="16"/>
      <c r="EHD189" s="16"/>
      <c r="EHE189" s="16"/>
      <c r="EHF189" s="16"/>
      <c r="EHG189" s="16"/>
      <c r="EHH189" s="16"/>
      <c r="EHI189" s="16"/>
      <c r="EHJ189" s="16"/>
      <c r="EHK189" s="16"/>
      <c r="EHL189" s="16"/>
      <c r="EHM189" s="16"/>
      <c r="EHN189" s="16"/>
      <c r="EHO189" s="16"/>
      <c r="EHP189" s="16"/>
      <c r="EHQ189" s="16"/>
      <c r="EHR189" s="16"/>
      <c r="EHS189" s="16"/>
      <c r="EHT189" s="16"/>
      <c r="EHU189" s="16"/>
      <c r="EHV189" s="16"/>
      <c r="EHW189" s="16"/>
      <c r="EHX189" s="16"/>
      <c r="EHY189" s="16"/>
      <c r="EHZ189" s="16"/>
      <c r="EIA189" s="16"/>
      <c r="EIB189" s="16"/>
      <c r="EIC189" s="16"/>
      <c r="EID189" s="16"/>
      <c r="EIE189" s="16"/>
      <c r="EIF189" s="16"/>
      <c r="EIG189" s="16"/>
      <c r="EIH189" s="16"/>
      <c r="EII189" s="16"/>
      <c r="EIJ189" s="16"/>
      <c r="EIK189" s="16"/>
      <c r="EIL189" s="16"/>
      <c r="EIM189" s="16"/>
      <c r="EIN189" s="16"/>
      <c r="EIO189" s="16"/>
      <c r="EIP189" s="16"/>
      <c r="EIQ189" s="16"/>
      <c r="EIR189" s="16"/>
      <c r="EIS189" s="16"/>
      <c r="EIT189" s="16"/>
      <c r="EIU189" s="16"/>
      <c r="EIV189" s="16"/>
      <c r="EIW189" s="16"/>
      <c r="EIX189" s="16"/>
      <c r="EIY189" s="16"/>
      <c r="EIZ189" s="16"/>
      <c r="EJA189" s="16"/>
      <c r="EJB189" s="16"/>
      <c r="EJC189" s="16"/>
      <c r="EJD189" s="16"/>
      <c r="EJE189" s="16"/>
      <c r="EJF189" s="16"/>
      <c r="EJG189" s="16"/>
      <c r="EJH189" s="16"/>
      <c r="EJI189" s="16"/>
      <c r="EJJ189" s="16"/>
      <c r="EJK189" s="16"/>
      <c r="EJL189" s="16"/>
      <c r="EJM189" s="16"/>
      <c r="EJN189" s="16"/>
      <c r="EJO189" s="16"/>
      <c r="EJP189" s="16"/>
      <c r="EJQ189" s="16"/>
      <c r="EJR189" s="16"/>
      <c r="EJS189" s="16"/>
      <c r="EJT189" s="16"/>
      <c r="EJU189" s="16"/>
      <c r="EJV189" s="16"/>
      <c r="EJW189" s="16"/>
      <c r="EJX189" s="16"/>
      <c r="EJY189" s="16"/>
      <c r="EJZ189" s="16"/>
      <c r="EKA189" s="16"/>
      <c r="EKB189" s="16"/>
      <c r="EKC189" s="16"/>
      <c r="EKD189" s="16"/>
      <c r="EKE189" s="16"/>
      <c r="EKF189" s="16"/>
      <c r="EKG189" s="16"/>
      <c r="EKH189" s="16"/>
      <c r="EKI189" s="16"/>
      <c r="EKJ189" s="16"/>
      <c r="EKK189" s="16"/>
      <c r="EKL189" s="16"/>
      <c r="EKM189" s="16"/>
      <c r="EKN189" s="16"/>
      <c r="EKO189" s="16"/>
      <c r="EKP189" s="16"/>
      <c r="EKQ189" s="16"/>
      <c r="EKR189" s="16"/>
      <c r="EKS189" s="16"/>
      <c r="EKT189" s="16"/>
      <c r="EKU189" s="16"/>
      <c r="EKV189" s="16"/>
      <c r="EKW189" s="16"/>
      <c r="EKX189" s="16"/>
      <c r="EKY189" s="16"/>
      <c r="EKZ189" s="16"/>
      <c r="ELA189" s="16"/>
      <c r="ELB189" s="16"/>
      <c r="ELC189" s="16"/>
      <c r="ELD189" s="16"/>
      <c r="ELE189" s="16"/>
      <c r="ELF189" s="16"/>
      <c r="ELG189" s="16"/>
      <c r="ELH189" s="16"/>
      <c r="ELI189" s="16"/>
      <c r="ELJ189" s="16"/>
      <c r="ELK189" s="16"/>
      <c r="ELL189" s="16"/>
      <c r="ELM189" s="16"/>
      <c r="ELN189" s="16"/>
      <c r="ELO189" s="16"/>
      <c r="ELP189" s="16"/>
      <c r="ELQ189" s="16"/>
      <c r="ELR189" s="16"/>
      <c r="ELS189" s="16"/>
      <c r="ELT189" s="16"/>
      <c r="ELU189" s="16"/>
      <c r="ELV189" s="16"/>
      <c r="ELW189" s="16"/>
      <c r="ELX189" s="16"/>
      <c r="ELY189" s="16"/>
      <c r="ELZ189" s="16"/>
      <c r="EMA189" s="16"/>
      <c r="EMB189" s="16"/>
      <c r="EMC189" s="16"/>
      <c r="EMD189" s="16"/>
      <c r="EME189" s="16"/>
      <c r="EMF189" s="16"/>
      <c r="EMG189" s="16"/>
      <c r="EMH189" s="16"/>
      <c r="EMI189" s="16"/>
      <c r="EMJ189" s="16"/>
      <c r="EMK189" s="16"/>
      <c r="EML189" s="16"/>
      <c r="EMM189" s="16"/>
      <c r="EMN189" s="16"/>
      <c r="EMO189" s="16"/>
      <c r="EMP189" s="16"/>
      <c r="EMQ189" s="16"/>
      <c r="EMR189" s="16"/>
      <c r="EMS189" s="16"/>
      <c r="EMT189" s="16"/>
      <c r="EMU189" s="16"/>
      <c r="EMV189" s="16"/>
      <c r="EMW189" s="16"/>
      <c r="EMX189" s="16"/>
      <c r="EMY189" s="16"/>
      <c r="EMZ189" s="16"/>
      <c r="ENA189" s="16"/>
      <c r="ENB189" s="16"/>
      <c r="ENC189" s="16"/>
      <c r="END189" s="16"/>
      <c r="ENE189" s="16"/>
      <c r="ENF189" s="16"/>
      <c r="ENG189" s="16"/>
      <c r="ENH189" s="16"/>
      <c r="ENI189" s="16"/>
      <c r="ENJ189" s="16"/>
      <c r="ENK189" s="16"/>
      <c r="ENL189" s="16"/>
      <c r="ENM189" s="16"/>
      <c r="ENN189" s="16"/>
      <c r="ENO189" s="16"/>
      <c r="ENP189" s="16"/>
      <c r="ENQ189" s="16"/>
      <c r="ENR189" s="16"/>
      <c r="ENS189" s="16"/>
      <c r="ENT189" s="16"/>
      <c r="ENU189" s="16"/>
      <c r="ENV189" s="16"/>
      <c r="ENW189" s="16"/>
      <c r="ENX189" s="16"/>
      <c r="ENY189" s="16"/>
      <c r="ENZ189" s="16"/>
      <c r="EOA189" s="16"/>
      <c r="EOB189" s="16"/>
      <c r="EOC189" s="16"/>
      <c r="EOD189" s="16"/>
      <c r="EOE189" s="16"/>
      <c r="EOF189" s="16"/>
      <c r="EOG189" s="16"/>
      <c r="EOH189" s="16"/>
      <c r="EOI189" s="16"/>
      <c r="EOJ189" s="16"/>
      <c r="EOK189" s="16"/>
      <c r="EOL189" s="16"/>
      <c r="EOM189" s="16"/>
      <c r="EON189" s="16"/>
      <c r="EOO189" s="16"/>
      <c r="EOP189" s="16"/>
      <c r="EOQ189" s="16"/>
      <c r="EOR189" s="16"/>
      <c r="EOS189" s="16"/>
      <c r="EOT189" s="16"/>
      <c r="EOU189" s="16"/>
      <c r="EOV189" s="16"/>
      <c r="EOW189" s="16"/>
      <c r="EOX189" s="16"/>
      <c r="EOY189" s="16"/>
      <c r="EOZ189" s="16"/>
      <c r="EPA189" s="16"/>
      <c r="EPB189" s="16"/>
      <c r="EPC189" s="16"/>
      <c r="EPD189" s="16"/>
      <c r="EPE189" s="16"/>
      <c r="EPF189" s="16"/>
      <c r="EPG189" s="16"/>
      <c r="EPH189" s="16"/>
      <c r="EPI189" s="16"/>
      <c r="EPJ189" s="16"/>
      <c r="EPK189" s="16"/>
      <c r="EPL189" s="16"/>
      <c r="EPM189" s="16"/>
      <c r="EPN189" s="16"/>
      <c r="EPO189" s="16"/>
      <c r="EPP189" s="16"/>
      <c r="EPQ189" s="16"/>
      <c r="EPR189" s="16"/>
      <c r="EPS189" s="16"/>
      <c r="EPT189" s="16"/>
      <c r="EPU189" s="16"/>
      <c r="EPV189" s="16"/>
      <c r="EPW189" s="16"/>
      <c r="EPX189" s="16"/>
      <c r="EPY189" s="16"/>
      <c r="EPZ189" s="16"/>
      <c r="EQA189" s="16"/>
      <c r="EQB189" s="16"/>
      <c r="EQC189" s="16"/>
      <c r="EQD189" s="16"/>
      <c r="EQE189" s="16"/>
      <c r="EQF189" s="16"/>
      <c r="EQG189" s="16"/>
      <c r="EQH189" s="16"/>
      <c r="EQI189" s="16"/>
      <c r="EQJ189" s="16"/>
      <c r="EQK189" s="16"/>
      <c r="EQL189" s="16"/>
      <c r="EQM189" s="16"/>
      <c r="EQN189" s="16"/>
      <c r="EQO189" s="16"/>
      <c r="EQP189" s="16"/>
      <c r="EQQ189" s="16"/>
      <c r="EQR189" s="16"/>
      <c r="EQS189" s="16"/>
      <c r="EQT189" s="16"/>
      <c r="EQU189" s="16"/>
      <c r="EQV189" s="16"/>
      <c r="EQW189" s="16"/>
      <c r="EQX189" s="16"/>
      <c r="EQY189" s="16"/>
      <c r="EQZ189" s="16"/>
      <c r="ERA189" s="16"/>
      <c r="ERB189" s="16"/>
      <c r="ERC189" s="16"/>
      <c r="ERD189" s="16"/>
      <c r="ERE189" s="16"/>
      <c r="ERF189" s="16"/>
      <c r="ERG189" s="16"/>
      <c r="ERH189" s="16"/>
      <c r="ERI189" s="16"/>
      <c r="ERJ189" s="16"/>
      <c r="ERK189" s="16"/>
      <c r="ERL189" s="16"/>
      <c r="ERM189" s="16"/>
      <c r="ERN189" s="16"/>
      <c r="ERO189" s="16"/>
      <c r="ERP189" s="16"/>
      <c r="ERQ189" s="16"/>
      <c r="ERR189" s="16"/>
      <c r="ERS189" s="16"/>
      <c r="ERT189" s="16"/>
      <c r="ERU189" s="16"/>
      <c r="ERV189" s="16"/>
      <c r="ERW189" s="16"/>
      <c r="ERX189" s="16"/>
      <c r="ERY189" s="16"/>
      <c r="ERZ189" s="16"/>
      <c r="ESA189" s="16"/>
      <c r="ESB189" s="16"/>
      <c r="ESC189" s="16"/>
      <c r="ESD189" s="16"/>
      <c r="ESE189" s="16"/>
      <c r="ESF189" s="16"/>
      <c r="ESG189" s="16"/>
      <c r="ESH189" s="16"/>
      <c r="ESI189" s="16"/>
      <c r="ESJ189" s="16"/>
      <c r="ESK189" s="16"/>
      <c r="ESL189" s="16"/>
      <c r="ESM189" s="16"/>
      <c r="ESN189" s="16"/>
      <c r="ESO189" s="16"/>
      <c r="ESP189" s="16"/>
      <c r="ESQ189" s="16"/>
      <c r="ESR189" s="16"/>
      <c r="ESS189" s="16"/>
      <c r="EST189" s="16"/>
      <c r="ESU189" s="16"/>
      <c r="ESV189" s="16"/>
      <c r="ESW189" s="16"/>
      <c r="ESX189" s="16"/>
      <c r="ESY189" s="16"/>
      <c r="ESZ189" s="16"/>
      <c r="ETA189" s="16"/>
      <c r="ETB189" s="16"/>
      <c r="ETC189" s="16"/>
      <c r="ETD189" s="16"/>
      <c r="ETE189" s="16"/>
      <c r="ETF189" s="16"/>
      <c r="ETG189" s="16"/>
      <c r="ETH189" s="16"/>
      <c r="ETI189" s="16"/>
      <c r="ETJ189" s="16"/>
      <c r="ETK189" s="16"/>
      <c r="ETL189" s="16"/>
      <c r="ETM189" s="16"/>
      <c r="ETN189" s="16"/>
      <c r="ETO189" s="16"/>
      <c r="ETP189" s="16"/>
      <c r="ETQ189" s="16"/>
      <c r="ETR189" s="16"/>
      <c r="ETS189" s="16"/>
      <c r="ETT189" s="16"/>
      <c r="ETU189" s="16"/>
      <c r="ETV189" s="16"/>
      <c r="ETW189" s="16"/>
      <c r="ETX189" s="16"/>
      <c r="ETY189" s="16"/>
      <c r="ETZ189" s="16"/>
      <c r="EUA189" s="16"/>
      <c r="EUB189" s="16"/>
      <c r="EUC189" s="16"/>
      <c r="EUD189" s="16"/>
      <c r="EUE189" s="16"/>
      <c r="EUF189" s="16"/>
      <c r="EUG189" s="16"/>
      <c r="EUH189" s="16"/>
      <c r="EUI189" s="16"/>
      <c r="EUJ189" s="16"/>
      <c r="EUK189" s="16"/>
      <c r="EUL189" s="16"/>
      <c r="EUM189" s="16"/>
      <c r="EUN189" s="16"/>
      <c r="EUO189" s="16"/>
      <c r="EUP189" s="16"/>
      <c r="EUQ189" s="16"/>
      <c r="EUR189" s="16"/>
      <c r="EUS189" s="16"/>
      <c r="EUT189" s="16"/>
      <c r="EUU189" s="16"/>
      <c r="EUV189" s="16"/>
      <c r="EUW189" s="16"/>
      <c r="EUX189" s="16"/>
      <c r="EUY189" s="16"/>
      <c r="EUZ189" s="16"/>
      <c r="EVA189" s="16"/>
      <c r="EVB189" s="16"/>
      <c r="EVC189" s="16"/>
      <c r="EVD189" s="16"/>
      <c r="EVE189" s="16"/>
      <c r="EVF189" s="16"/>
      <c r="EVG189" s="16"/>
      <c r="EVH189" s="16"/>
      <c r="EVI189" s="16"/>
      <c r="EVJ189" s="16"/>
      <c r="EVK189" s="16"/>
      <c r="EVL189" s="16"/>
      <c r="EVM189" s="16"/>
      <c r="EVN189" s="16"/>
      <c r="EVO189" s="16"/>
      <c r="EVP189" s="16"/>
      <c r="EVQ189" s="16"/>
      <c r="EVR189" s="16"/>
      <c r="EVS189" s="16"/>
      <c r="EVT189" s="16"/>
      <c r="EVU189" s="16"/>
      <c r="EVV189" s="16"/>
      <c r="EVW189" s="16"/>
      <c r="EVX189" s="16"/>
      <c r="EVY189" s="16"/>
      <c r="EVZ189" s="16"/>
      <c r="EWA189" s="16"/>
      <c r="EWB189" s="16"/>
      <c r="EWC189" s="16"/>
      <c r="EWD189" s="16"/>
      <c r="EWE189" s="16"/>
      <c r="EWF189" s="16"/>
      <c r="EWG189" s="16"/>
      <c r="EWH189" s="16"/>
      <c r="EWI189" s="16"/>
      <c r="EWJ189" s="16"/>
      <c r="EWK189" s="16"/>
      <c r="EWL189" s="16"/>
      <c r="EWM189" s="16"/>
      <c r="EWN189" s="16"/>
      <c r="EWO189" s="16"/>
      <c r="EWP189" s="16"/>
      <c r="EWQ189" s="16"/>
      <c r="EWR189" s="16"/>
      <c r="EWS189" s="16"/>
      <c r="EWT189" s="16"/>
      <c r="EWU189" s="16"/>
      <c r="EWV189" s="16"/>
      <c r="EWW189" s="16"/>
      <c r="EWX189" s="16"/>
      <c r="EWY189" s="16"/>
      <c r="EWZ189" s="16"/>
      <c r="EXA189" s="16"/>
      <c r="EXB189" s="16"/>
      <c r="EXC189" s="16"/>
      <c r="EXD189" s="16"/>
      <c r="EXE189" s="16"/>
      <c r="EXF189" s="16"/>
      <c r="EXG189" s="16"/>
      <c r="EXH189" s="16"/>
      <c r="EXI189" s="16"/>
      <c r="EXJ189" s="16"/>
      <c r="EXK189" s="16"/>
      <c r="EXL189" s="16"/>
      <c r="EXM189" s="16"/>
      <c r="EXN189" s="16"/>
      <c r="EXO189" s="16"/>
      <c r="EXP189" s="16"/>
      <c r="EXQ189" s="16"/>
      <c r="EXR189" s="16"/>
      <c r="EXS189" s="16"/>
      <c r="EXT189" s="16"/>
      <c r="EXU189" s="16"/>
      <c r="EXV189" s="16"/>
      <c r="EXW189" s="16"/>
      <c r="EXX189" s="16"/>
      <c r="EXY189" s="16"/>
      <c r="EXZ189" s="16"/>
      <c r="EYA189" s="16"/>
      <c r="EYB189" s="16"/>
      <c r="EYC189" s="16"/>
      <c r="EYD189" s="16"/>
      <c r="EYE189" s="16"/>
      <c r="EYF189" s="16"/>
      <c r="EYG189" s="16"/>
      <c r="EYH189" s="16"/>
      <c r="EYI189" s="16"/>
      <c r="EYJ189" s="16"/>
      <c r="EYK189" s="16"/>
      <c r="EYL189" s="16"/>
      <c r="EYM189" s="16"/>
      <c r="EYN189" s="16"/>
      <c r="EYO189" s="16"/>
      <c r="EYP189" s="16"/>
      <c r="EYQ189" s="16"/>
      <c r="EYR189" s="16"/>
      <c r="EYS189" s="16"/>
      <c r="EYT189" s="16"/>
      <c r="EYU189" s="16"/>
      <c r="EYV189" s="16"/>
      <c r="EYW189" s="16"/>
      <c r="EYX189" s="16"/>
      <c r="EYY189" s="16"/>
      <c r="EYZ189" s="16"/>
      <c r="EZA189" s="16"/>
      <c r="EZB189" s="16"/>
      <c r="EZC189" s="16"/>
      <c r="EZD189" s="16"/>
      <c r="EZE189" s="16"/>
      <c r="EZF189" s="16"/>
      <c r="EZG189" s="16"/>
      <c r="EZH189" s="16"/>
      <c r="EZI189" s="16"/>
      <c r="EZJ189" s="16"/>
      <c r="EZK189" s="16"/>
      <c r="EZL189" s="16"/>
      <c r="EZM189" s="16"/>
      <c r="EZN189" s="16"/>
      <c r="EZO189" s="16"/>
      <c r="EZP189" s="16"/>
      <c r="EZQ189" s="16"/>
      <c r="EZR189" s="16"/>
      <c r="EZS189" s="16"/>
      <c r="EZT189" s="16"/>
      <c r="EZU189" s="16"/>
      <c r="EZV189" s="16"/>
      <c r="EZW189" s="16"/>
      <c r="EZX189" s="16"/>
      <c r="EZY189" s="16"/>
      <c r="EZZ189" s="16"/>
      <c r="FAA189" s="16"/>
      <c r="FAB189" s="16"/>
      <c r="FAC189" s="16"/>
      <c r="FAD189" s="16"/>
      <c r="FAE189" s="16"/>
      <c r="FAF189" s="16"/>
      <c r="FAG189" s="16"/>
      <c r="FAH189" s="16"/>
      <c r="FAI189" s="16"/>
      <c r="FAJ189" s="16"/>
      <c r="FAK189" s="16"/>
      <c r="FAL189" s="16"/>
      <c r="FAM189" s="16"/>
      <c r="FAN189" s="16"/>
      <c r="FAO189" s="16"/>
      <c r="FAP189" s="16"/>
      <c r="FAQ189" s="16"/>
      <c r="FAR189" s="16"/>
      <c r="FAS189" s="16"/>
      <c r="FAT189" s="16"/>
      <c r="FAU189" s="16"/>
      <c r="FAV189" s="16"/>
      <c r="FAW189" s="16"/>
      <c r="FAX189" s="16"/>
      <c r="FAY189" s="16"/>
      <c r="FAZ189" s="16"/>
      <c r="FBA189" s="16"/>
      <c r="FBB189" s="16"/>
      <c r="FBC189" s="16"/>
      <c r="FBD189" s="16"/>
      <c r="FBE189" s="16"/>
      <c r="FBF189" s="16"/>
      <c r="FBG189" s="16"/>
      <c r="FBH189" s="16"/>
      <c r="FBI189" s="16"/>
      <c r="FBJ189" s="16"/>
      <c r="FBK189" s="16"/>
      <c r="FBL189" s="16"/>
      <c r="FBM189" s="16"/>
      <c r="FBN189" s="16"/>
      <c r="FBO189" s="16"/>
      <c r="FBP189" s="16"/>
      <c r="FBQ189" s="16"/>
      <c r="FBR189" s="16"/>
      <c r="FBS189" s="16"/>
      <c r="FBT189" s="16"/>
      <c r="FBU189" s="16"/>
      <c r="FBV189" s="16"/>
      <c r="FBW189" s="16"/>
      <c r="FBX189" s="16"/>
      <c r="FBY189" s="16"/>
      <c r="FBZ189" s="16"/>
      <c r="FCA189" s="16"/>
      <c r="FCB189" s="16"/>
      <c r="FCC189" s="16"/>
      <c r="FCD189" s="16"/>
      <c r="FCE189" s="16"/>
      <c r="FCF189" s="16"/>
      <c r="FCG189" s="16"/>
      <c r="FCH189" s="16"/>
      <c r="FCI189" s="16"/>
      <c r="FCJ189" s="16"/>
      <c r="FCK189" s="16"/>
      <c r="FCL189" s="16"/>
      <c r="FCM189" s="16"/>
      <c r="FCN189" s="16"/>
      <c r="FCO189" s="16"/>
      <c r="FCP189" s="16"/>
      <c r="FCQ189" s="16"/>
      <c r="FCR189" s="16"/>
      <c r="FCS189" s="16"/>
      <c r="FCT189" s="16"/>
      <c r="FCU189" s="16"/>
      <c r="FCV189" s="16"/>
      <c r="FCW189" s="16"/>
      <c r="FCX189" s="16"/>
      <c r="FCY189" s="16"/>
      <c r="FCZ189" s="16"/>
      <c r="FDA189" s="16"/>
      <c r="FDB189" s="16"/>
      <c r="FDC189" s="16"/>
      <c r="FDD189" s="16"/>
      <c r="FDE189" s="16"/>
      <c r="FDF189" s="16"/>
      <c r="FDG189" s="16"/>
      <c r="FDH189" s="16"/>
      <c r="FDI189" s="16"/>
      <c r="FDJ189" s="16"/>
      <c r="FDK189" s="16"/>
      <c r="FDL189" s="16"/>
      <c r="FDM189" s="16"/>
      <c r="FDN189" s="16"/>
      <c r="FDO189" s="16"/>
      <c r="FDP189" s="16"/>
      <c r="FDQ189" s="16"/>
      <c r="FDR189" s="16"/>
      <c r="FDS189" s="16"/>
      <c r="FDT189" s="16"/>
      <c r="FDU189" s="16"/>
      <c r="FDV189" s="16"/>
      <c r="FDW189" s="16"/>
      <c r="FDX189" s="16"/>
      <c r="FDY189" s="16"/>
      <c r="FDZ189" s="16"/>
      <c r="FEA189" s="16"/>
      <c r="FEB189" s="16"/>
      <c r="FEC189" s="16"/>
      <c r="FED189" s="16"/>
      <c r="FEE189" s="16"/>
      <c r="FEF189" s="16"/>
      <c r="FEG189" s="16"/>
      <c r="FEH189" s="16"/>
      <c r="FEI189" s="16"/>
      <c r="FEJ189" s="16"/>
      <c r="FEK189" s="16"/>
      <c r="FEL189" s="16"/>
      <c r="FEM189" s="16"/>
      <c r="FEN189" s="16"/>
      <c r="FEO189" s="16"/>
      <c r="FEP189" s="16"/>
      <c r="FEQ189" s="16"/>
      <c r="FER189" s="16"/>
      <c r="FES189" s="16"/>
      <c r="FET189" s="16"/>
      <c r="FEU189" s="16"/>
      <c r="FEV189" s="16"/>
      <c r="FEW189" s="16"/>
      <c r="FEX189" s="16"/>
      <c r="FEY189" s="16"/>
      <c r="FEZ189" s="16"/>
      <c r="FFA189" s="16"/>
      <c r="FFB189" s="16"/>
      <c r="FFC189" s="16"/>
      <c r="FFD189" s="16"/>
      <c r="FFE189" s="16"/>
      <c r="FFF189" s="16"/>
      <c r="FFG189" s="16"/>
      <c r="FFH189" s="16"/>
      <c r="FFI189" s="16"/>
      <c r="FFJ189" s="16"/>
      <c r="FFK189" s="16"/>
      <c r="FFL189" s="16"/>
      <c r="FFM189" s="16"/>
      <c r="FFN189" s="16"/>
      <c r="FFO189" s="16"/>
      <c r="FFP189" s="16"/>
      <c r="FFQ189" s="16"/>
      <c r="FFR189" s="16"/>
      <c r="FFS189" s="16"/>
      <c r="FFT189" s="16"/>
      <c r="FFU189" s="16"/>
      <c r="FFV189" s="16"/>
      <c r="FFW189" s="16"/>
      <c r="FFX189" s="16"/>
      <c r="FFY189" s="16"/>
      <c r="FFZ189" s="16"/>
      <c r="FGA189" s="16"/>
      <c r="FGB189" s="16"/>
      <c r="FGC189" s="16"/>
      <c r="FGD189" s="16"/>
      <c r="FGE189" s="16"/>
      <c r="FGF189" s="16"/>
      <c r="FGG189" s="16"/>
      <c r="FGH189" s="16"/>
      <c r="FGI189" s="16"/>
      <c r="FGJ189" s="16"/>
      <c r="FGK189" s="16"/>
      <c r="FGL189" s="16"/>
      <c r="FGM189" s="16"/>
      <c r="FGN189" s="16"/>
      <c r="FGO189" s="16"/>
      <c r="FGP189" s="16"/>
      <c r="FGQ189" s="16"/>
      <c r="FGR189" s="16"/>
      <c r="FGS189" s="16"/>
      <c r="FGT189" s="16"/>
      <c r="FGU189" s="16"/>
      <c r="FGV189" s="16"/>
      <c r="FGW189" s="16"/>
      <c r="FGX189" s="16"/>
      <c r="FGY189" s="16"/>
      <c r="FGZ189" s="16"/>
      <c r="FHA189" s="16"/>
      <c r="FHB189" s="16"/>
      <c r="FHC189" s="16"/>
      <c r="FHD189" s="16"/>
      <c r="FHE189" s="16"/>
      <c r="FHF189" s="16"/>
      <c r="FHG189" s="16"/>
      <c r="FHH189" s="16"/>
      <c r="FHI189" s="16"/>
      <c r="FHJ189" s="16"/>
      <c r="FHK189" s="16"/>
      <c r="FHL189" s="16"/>
      <c r="FHM189" s="16"/>
      <c r="FHN189" s="16"/>
      <c r="FHO189" s="16"/>
      <c r="FHP189" s="16"/>
      <c r="FHQ189" s="16"/>
      <c r="FHR189" s="16"/>
      <c r="FHS189" s="16"/>
      <c r="FHT189" s="16"/>
      <c r="FHU189" s="16"/>
      <c r="FHV189" s="16"/>
      <c r="FHW189" s="16"/>
      <c r="FHX189" s="16"/>
      <c r="FHY189" s="16"/>
      <c r="FHZ189" s="16"/>
      <c r="FIA189" s="16"/>
      <c r="FIB189" s="16"/>
      <c r="FIC189" s="16"/>
      <c r="FID189" s="16"/>
      <c r="FIE189" s="16"/>
      <c r="FIF189" s="16"/>
      <c r="FIG189" s="16"/>
      <c r="FIH189" s="16"/>
      <c r="FII189" s="16"/>
      <c r="FIJ189" s="16"/>
      <c r="FIK189" s="16"/>
      <c r="FIL189" s="16"/>
      <c r="FIM189" s="16"/>
      <c r="FIN189" s="16"/>
      <c r="FIO189" s="16"/>
      <c r="FIP189" s="16"/>
      <c r="FIQ189" s="16"/>
      <c r="FIR189" s="16"/>
      <c r="FIS189" s="16"/>
      <c r="FIT189" s="16"/>
      <c r="FIU189" s="16"/>
      <c r="FIV189" s="16"/>
      <c r="FIW189" s="16"/>
      <c r="FIX189" s="16"/>
      <c r="FIY189" s="16"/>
      <c r="FIZ189" s="16"/>
      <c r="FJA189" s="16"/>
      <c r="FJB189" s="16"/>
      <c r="FJC189" s="16"/>
      <c r="FJD189" s="16"/>
      <c r="FJE189" s="16"/>
      <c r="FJF189" s="16"/>
      <c r="FJG189" s="16"/>
      <c r="FJH189" s="16"/>
      <c r="FJI189" s="16"/>
      <c r="FJJ189" s="16"/>
      <c r="FJK189" s="16"/>
      <c r="FJL189" s="16"/>
      <c r="FJM189" s="16"/>
      <c r="FJN189" s="16"/>
      <c r="FJO189" s="16"/>
      <c r="FJP189" s="16"/>
      <c r="FJQ189" s="16"/>
      <c r="FJR189" s="16"/>
      <c r="FJS189" s="16"/>
      <c r="FJT189" s="16"/>
      <c r="FJU189" s="16"/>
      <c r="FJV189" s="16"/>
      <c r="FJW189" s="16"/>
      <c r="FJX189" s="16"/>
      <c r="FJY189" s="16"/>
      <c r="FJZ189" s="16"/>
      <c r="FKA189" s="16"/>
      <c r="FKB189" s="16"/>
      <c r="FKC189" s="16"/>
      <c r="FKD189" s="16"/>
      <c r="FKE189" s="16"/>
      <c r="FKF189" s="16"/>
      <c r="FKG189" s="16"/>
      <c r="FKH189" s="16"/>
      <c r="FKI189" s="16"/>
      <c r="FKJ189" s="16"/>
      <c r="FKK189" s="16"/>
      <c r="FKL189" s="16"/>
      <c r="FKM189" s="16"/>
      <c r="FKN189" s="16"/>
      <c r="FKO189" s="16"/>
      <c r="FKP189" s="16"/>
      <c r="FKQ189" s="16"/>
      <c r="FKR189" s="16"/>
      <c r="FKS189" s="16"/>
      <c r="FKT189" s="16"/>
      <c r="FKU189" s="16"/>
      <c r="FKV189" s="16"/>
      <c r="FKW189" s="16"/>
      <c r="FKX189" s="16"/>
      <c r="FKY189" s="16"/>
      <c r="FKZ189" s="16"/>
      <c r="FLA189" s="16"/>
      <c r="FLB189" s="16"/>
      <c r="FLC189" s="16"/>
      <c r="FLD189" s="16"/>
      <c r="FLE189" s="16"/>
      <c r="FLF189" s="16"/>
      <c r="FLG189" s="16"/>
      <c r="FLH189" s="16"/>
      <c r="FLI189" s="16"/>
      <c r="FLJ189" s="16"/>
      <c r="FLK189" s="16"/>
      <c r="FLL189" s="16"/>
      <c r="FLM189" s="16"/>
      <c r="FLN189" s="16"/>
      <c r="FLO189" s="16"/>
      <c r="FLP189" s="16"/>
      <c r="FLQ189" s="16"/>
      <c r="FLR189" s="16"/>
      <c r="FLS189" s="16"/>
      <c r="FLT189" s="16"/>
      <c r="FLU189" s="16"/>
      <c r="FLV189" s="16"/>
      <c r="FLW189" s="16"/>
      <c r="FLX189" s="16"/>
      <c r="FLY189" s="16"/>
      <c r="FLZ189" s="16"/>
      <c r="FMA189" s="16"/>
      <c r="FMB189" s="16"/>
      <c r="FMC189" s="16"/>
      <c r="FMD189" s="16"/>
      <c r="FME189" s="16"/>
      <c r="FMF189" s="16"/>
      <c r="FMG189" s="16"/>
      <c r="FMH189" s="16"/>
      <c r="FMI189" s="16"/>
      <c r="FMJ189" s="16"/>
      <c r="FMK189" s="16"/>
      <c r="FML189" s="16"/>
      <c r="FMM189" s="16"/>
      <c r="FMN189" s="16"/>
      <c r="FMO189" s="16"/>
      <c r="FMP189" s="16"/>
      <c r="FMQ189" s="16"/>
      <c r="FMR189" s="16"/>
      <c r="FMS189" s="16"/>
      <c r="FMT189" s="16"/>
      <c r="FMU189" s="16"/>
      <c r="FMV189" s="16"/>
      <c r="FMW189" s="16"/>
      <c r="FMX189" s="16"/>
      <c r="FMY189" s="16"/>
      <c r="FMZ189" s="16"/>
      <c r="FNA189" s="16"/>
      <c r="FNB189" s="16"/>
      <c r="FNC189" s="16"/>
      <c r="FND189" s="16"/>
      <c r="FNE189" s="16"/>
      <c r="FNF189" s="16"/>
      <c r="FNG189" s="16"/>
      <c r="FNH189" s="16"/>
      <c r="FNI189" s="16"/>
      <c r="FNJ189" s="16"/>
      <c r="FNK189" s="16"/>
      <c r="FNL189" s="16"/>
      <c r="FNM189" s="16"/>
      <c r="FNN189" s="16"/>
      <c r="FNO189" s="16"/>
      <c r="FNP189" s="16"/>
      <c r="FNQ189" s="16"/>
      <c r="FNR189" s="16"/>
      <c r="FNS189" s="16"/>
      <c r="FNT189" s="16"/>
      <c r="FNU189" s="16"/>
      <c r="FNV189" s="16"/>
      <c r="FNW189" s="16"/>
      <c r="FNX189" s="16"/>
      <c r="FNY189" s="16"/>
      <c r="FNZ189" s="16"/>
      <c r="FOA189" s="16"/>
      <c r="FOB189" s="16"/>
      <c r="FOC189" s="16"/>
      <c r="FOD189" s="16"/>
      <c r="FOE189" s="16"/>
      <c r="FOF189" s="16"/>
      <c r="FOG189" s="16"/>
      <c r="FOH189" s="16"/>
      <c r="FOI189" s="16"/>
      <c r="FOJ189" s="16"/>
      <c r="FOK189" s="16"/>
      <c r="FOL189" s="16"/>
      <c r="FOM189" s="16"/>
      <c r="FON189" s="16"/>
      <c r="FOO189" s="16"/>
      <c r="FOP189" s="16"/>
      <c r="FOQ189" s="16"/>
      <c r="FOR189" s="16"/>
      <c r="FOS189" s="16"/>
      <c r="FOT189" s="16"/>
      <c r="FOU189" s="16"/>
      <c r="FOV189" s="16"/>
      <c r="FOW189" s="16"/>
      <c r="FOX189" s="16"/>
      <c r="FOY189" s="16"/>
      <c r="FOZ189" s="16"/>
      <c r="FPA189" s="16"/>
      <c r="FPB189" s="16"/>
      <c r="FPC189" s="16"/>
      <c r="FPD189" s="16"/>
      <c r="FPE189" s="16"/>
      <c r="FPF189" s="16"/>
      <c r="FPG189" s="16"/>
      <c r="FPH189" s="16"/>
      <c r="FPI189" s="16"/>
      <c r="FPJ189" s="16"/>
      <c r="FPK189" s="16"/>
      <c r="FPL189" s="16"/>
      <c r="FPM189" s="16"/>
      <c r="FPN189" s="16"/>
      <c r="FPO189" s="16"/>
      <c r="FPP189" s="16"/>
      <c r="FPQ189" s="16"/>
      <c r="FPR189" s="16"/>
      <c r="FPS189" s="16"/>
      <c r="FPT189" s="16"/>
      <c r="FPU189" s="16"/>
      <c r="FPV189" s="16"/>
      <c r="FPW189" s="16"/>
      <c r="FPX189" s="16"/>
      <c r="FPY189" s="16"/>
      <c r="FPZ189" s="16"/>
      <c r="FQA189" s="16"/>
      <c r="FQB189" s="16"/>
      <c r="FQC189" s="16"/>
      <c r="FQD189" s="16"/>
      <c r="FQE189" s="16"/>
      <c r="FQF189" s="16"/>
      <c r="FQG189" s="16"/>
      <c r="FQH189" s="16"/>
      <c r="FQI189" s="16"/>
      <c r="FQJ189" s="16"/>
      <c r="FQK189" s="16"/>
      <c r="FQL189" s="16"/>
      <c r="FQM189" s="16"/>
      <c r="FQN189" s="16"/>
      <c r="FQO189" s="16"/>
      <c r="FQP189" s="16"/>
      <c r="FQQ189" s="16"/>
      <c r="FQR189" s="16"/>
      <c r="FQS189" s="16"/>
      <c r="FQT189" s="16"/>
      <c r="FQU189" s="16"/>
      <c r="FQV189" s="16"/>
      <c r="FQW189" s="16"/>
      <c r="FQX189" s="16"/>
      <c r="FQY189" s="16"/>
      <c r="FQZ189" s="16"/>
      <c r="FRA189" s="16"/>
      <c r="FRB189" s="16"/>
      <c r="FRC189" s="16"/>
      <c r="FRD189" s="16"/>
      <c r="FRE189" s="16"/>
      <c r="FRF189" s="16"/>
      <c r="FRG189" s="16"/>
      <c r="FRH189" s="16"/>
      <c r="FRI189" s="16"/>
      <c r="FRJ189" s="16"/>
      <c r="FRK189" s="16"/>
      <c r="FRL189" s="16"/>
      <c r="FRM189" s="16"/>
      <c r="FRN189" s="16"/>
      <c r="FRO189" s="16"/>
      <c r="FRP189" s="16"/>
      <c r="FRQ189" s="16"/>
      <c r="FRR189" s="16"/>
      <c r="FRS189" s="16"/>
      <c r="FRT189" s="16"/>
      <c r="FRU189" s="16"/>
      <c r="FRV189" s="16"/>
      <c r="FRW189" s="16"/>
      <c r="FRX189" s="16"/>
      <c r="FRY189" s="16"/>
      <c r="FRZ189" s="16"/>
      <c r="FSA189" s="16"/>
      <c r="FSB189" s="16"/>
      <c r="FSC189" s="16"/>
      <c r="FSD189" s="16"/>
      <c r="FSE189" s="16"/>
      <c r="FSF189" s="16"/>
      <c r="FSG189" s="16"/>
      <c r="FSH189" s="16"/>
      <c r="FSI189" s="16"/>
      <c r="FSJ189" s="16"/>
      <c r="FSK189" s="16"/>
      <c r="FSL189" s="16"/>
      <c r="FSM189" s="16"/>
      <c r="FSN189" s="16"/>
      <c r="FSO189" s="16"/>
      <c r="FSP189" s="16"/>
      <c r="FSQ189" s="16"/>
      <c r="FSR189" s="16"/>
      <c r="FSS189" s="16"/>
      <c r="FST189" s="16"/>
      <c r="FSU189" s="16"/>
      <c r="FSV189" s="16"/>
      <c r="FSW189" s="16"/>
      <c r="FSX189" s="16"/>
      <c r="FSY189" s="16"/>
      <c r="FSZ189" s="16"/>
      <c r="FTA189" s="16"/>
      <c r="FTB189" s="16"/>
      <c r="FTC189" s="16"/>
      <c r="FTD189" s="16"/>
      <c r="FTE189" s="16"/>
      <c r="FTF189" s="16"/>
      <c r="FTG189" s="16"/>
      <c r="FTH189" s="16"/>
      <c r="FTI189" s="16"/>
      <c r="FTJ189" s="16"/>
      <c r="FTK189" s="16"/>
      <c r="FTL189" s="16"/>
      <c r="FTM189" s="16"/>
      <c r="FTN189" s="16"/>
      <c r="FTO189" s="16"/>
      <c r="FTP189" s="16"/>
      <c r="FTQ189" s="16"/>
      <c r="FTR189" s="16"/>
      <c r="FTS189" s="16"/>
      <c r="FTT189" s="16"/>
      <c r="FTU189" s="16"/>
      <c r="FTV189" s="16"/>
      <c r="FTW189" s="16"/>
      <c r="FTX189" s="16"/>
      <c r="FTY189" s="16"/>
      <c r="FTZ189" s="16"/>
      <c r="FUA189" s="16"/>
      <c r="FUB189" s="16"/>
      <c r="FUC189" s="16"/>
      <c r="FUD189" s="16"/>
      <c r="FUE189" s="16"/>
      <c r="FUF189" s="16"/>
      <c r="FUG189" s="16"/>
      <c r="FUH189" s="16"/>
      <c r="FUI189" s="16"/>
      <c r="FUJ189" s="16"/>
      <c r="FUK189" s="16"/>
      <c r="FUL189" s="16"/>
      <c r="FUM189" s="16"/>
      <c r="FUN189" s="16"/>
      <c r="FUO189" s="16"/>
      <c r="FUP189" s="16"/>
      <c r="FUQ189" s="16"/>
      <c r="FUR189" s="16"/>
      <c r="FUS189" s="16"/>
      <c r="FUT189" s="16"/>
      <c r="FUU189" s="16"/>
      <c r="FUV189" s="16"/>
      <c r="FUW189" s="16"/>
      <c r="FUX189" s="16"/>
      <c r="FUY189" s="16"/>
      <c r="FUZ189" s="16"/>
      <c r="FVA189" s="16"/>
      <c r="FVB189" s="16"/>
      <c r="FVC189" s="16"/>
      <c r="FVD189" s="16"/>
      <c r="FVE189" s="16"/>
      <c r="FVF189" s="16"/>
      <c r="FVG189" s="16"/>
      <c r="FVH189" s="16"/>
      <c r="FVI189" s="16"/>
      <c r="FVJ189" s="16"/>
      <c r="FVK189" s="16"/>
      <c r="FVL189" s="16"/>
      <c r="FVM189" s="16"/>
      <c r="FVN189" s="16"/>
      <c r="FVO189" s="16"/>
      <c r="FVP189" s="16"/>
      <c r="FVQ189" s="16"/>
      <c r="FVR189" s="16"/>
      <c r="FVS189" s="16"/>
      <c r="FVT189" s="16"/>
      <c r="FVU189" s="16"/>
      <c r="FVV189" s="16"/>
      <c r="FVW189" s="16"/>
      <c r="FVX189" s="16"/>
      <c r="FVY189" s="16"/>
      <c r="FVZ189" s="16"/>
      <c r="FWA189" s="16"/>
      <c r="FWB189" s="16"/>
      <c r="FWC189" s="16"/>
      <c r="FWD189" s="16"/>
      <c r="FWE189" s="16"/>
      <c r="FWF189" s="16"/>
      <c r="FWG189" s="16"/>
      <c r="FWH189" s="16"/>
      <c r="FWI189" s="16"/>
      <c r="FWJ189" s="16"/>
      <c r="FWK189" s="16"/>
      <c r="FWL189" s="16"/>
      <c r="FWM189" s="16"/>
      <c r="FWN189" s="16"/>
      <c r="FWO189" s="16"/>
      <c r="FWP189" s="16"/>
      <c r="FWQ189" s="16"/>
      <c r="FWR189" s="16"/>
      <c r="FWS189" s="16"/>
      <c r="FWT189" s="16"/>
      <c r="FWU189" s="16"/>
      <c r="FWV189" s="16"/>
      <c r="FWW189" s="16"/>
      <c r="FWX189" s="16"/>
      <c r="FWY189" s="16"/>
      <c r="FWZ189" s="16"/>
      <c r="FXA189" s="16"/>
      <c r="FXB189" s="16"/>
      <c r="FXC189" s="16"/>
      <c r="FXD189" s="16"/>
      <c r="FXE189" s="16"/>
      <c r="FXF189" s="16"/>
      <c r="FXG189" s="16"/>
      <c r="FXH189" s="16"/>
      <c r="FXI189" s="16"/>
      <c r="FXJ189" s="16"/>
      <c r="FXK189" s="16"/>
      <c r="FXL189" s="16"/>
      <c r="FXM189" s="16"/>
      <c r="FXN189" s="16"/>
      <c r="FXO189" s="16"/>
      <c r="FXP189" s="16"/>
      <c r="FXQ189" s="16"/>
      <c r="FXR189" s="16"/>
      <c r="FXS189" s="16"/>
      <c r="FXT189" s="16"/>
      <c r="FXU189" s="16"/>
      <c r="FXV189" s="16"/>
      <c r="FXW189" s="16"/>
      <c r="FXX189" s="16"/>
      <c r="FXY189" s="16"/>
      <c r="FXZ189" s="16"/>
      <c r="FYA189" s="16"/>
      <c r="FYB189" s="16"/>
      <c r="FYC189" s="16"/>
      <c r="FYD189" s="16"/>
      <c r="FYE189" s="16"/>
      <c r="FYF189" s="16"/>
      <c r="FYG189" s="16"/>
      <c r="FYH189" s="16"/>
      <c r="FYI189" s="16"/>
      <c r="FYJ189" s="16"/>
      <c r="FYK189" s="16"/>
      <c r="FYL189" s="16"/>
      <c r="FYM189" s="16"/>
      <c r="FYN189" s="16"/>
      <c r="FYO189" s="16"/>
      <c r="FYP189" s="16"/>
      <c r="FYQ189" s="16"/>
      <c r="FYR189" s="16"/>
      <c r="FYS189" s="16"/>
      <c r="FYT189" s="16"/>
      <c r="FYU189" s="16"/>
      <c r="FYV189" s="16"/>
      <c r="FYW189" s="16"/>
      <c r="FYX189" s="16"/>
      <c r="FYY189" s="16"/>
      <c r="FYZ189" s="16"/>
      <c r="FZA189" s="16"/>
      <c r="FZB189" s="16"/>
      <c r="FZC189" s="16"/>
      <c r="FZD189" s="16"/>
      <c r="FZE189" s="16"/>
      <c r="FZF189" s="16"/>
      <c r="FZG189" s="16"/>
      <c r="FZH189" s="16"/>
      <c r="FZI189" s="16"/>
      <c r="FZJ189" s="16"/>
      <c r="FZK189" s="16"/>
      <c r="FZL189" s="16"/>
      <c r="FZM189" s="16"/>
      <c r="FZN189" s="16"/>
      <c r="FZO189" s="16"/>
      <c r="FZP189" s="16"/>
      <c r="FZQ189" s="16"/>
      <c r="FZR189" s="16"/>
      <c r="FZS189" s="16"/>
      <c r="FZT189" s="16"/>
      <c r="FZU189" s="16"/>
      <c r="FZV189" s="16"/>
      <c r="FZW189" s="16"/>
      <c r="FZX189" s="16"/>
      <c r="FZY189" s="16"/>
      <c r="FZZ189" s="16"/>
      <c r="GAA189" s="16"/>
      <c r="GAB189" s="16"/>
      <c r="GAC189" s="16"/>
      <c r="GAD189" s="16"/>
      <c r="GAE189" s="16"/>
      <c r="GAF189" s="16"/>
      <c r="GAG189" s="16"/>
      <c r="GAH189" s="16"/>
      <c r="GAI189" s="16"/>
      <c r="GAJ189" s="16"/>
      <c r="GAK189" s="16"/>
      <c r="GAL189" s="16"/>
      <c r="GAM189" s="16"/>
      <c r="GAN189" s="16"/>
      <c r="GAO189" s="16"/>
      <c r="GAP189" s="16"/>
      <c r="GAQ189" s="16"/>
      <c r="GAR189" s="16"/>
      <c r="GAS189" s="16"/>
      <c r="GAT189" s="16"/>
      <c r="GAU189" s="16"/>
      <c r="GAV189" s="16"/>
      <c r="GAW189" s="16"/>
      <c r="GAX189" s="16"/>
      <c r="GAY189" s="16"/>
      <c r="GAZ189" s="16"/>
      <c r="GBA189" s="16"/>
      <c r="GBB189" s="16"/>
      <c r="GBC189" s="16"/>
      <c r="GBD189" s="16"/>
      <c r="GBE189" s="16"/>
      <c r="GBF189" s="16"/>
      <c r="GBG189" s="16"/>
      <c r="GBH189" s="16"/>
      <c r="GBI189" s="16"/>
      <c r="GBJ189" s="16"/>
      <c r="GBK189" s="16"/>
      <c r="GBL189" s="16"/>
      <c r="GBM189" s="16"/>
      <c r="GBN189" s="16"/>
      <c r="GBO189" s="16"/>
      <c r="GBP189" s="16"/>
      <c r="GBQ189" s="16"/>
      <c r="GBR189" s="16"/>
      <c r="GBS189" s="16"/>
      <c r="GBT189" s="16"/>
      <c r="GBU189" s="16"/>
      <c r="GBV189" s="16"/>
      <c r="GBW189" s="16"/>
      <c r="GBX189" s="16"/>
      <c r="GBY189" s="16"/>
      <c r="GBZ189" s="16"/>
      <c r="GCA189" s="16"/>
      <c r="GCB189" s="16"/>
      <c r="GCC189" s="16"/>
      <c r="GCD189" s="16"/>
      <c r="GCE189" s="16"/>
      <c r="GCF189" s="16"/>
      <c r="GCG189" s="16"/>
      <c r="GCH189" s="16"/>
      <c r="GCI189" s="16"/>
      <c r="GCJ189" s="16"/>
      <c r="GCK189" s="16"/>
      <c r="GCL189" s="16"/>
      <c r="GCM189" s="16"/>
      <c r="GCN189" s="16"/>
      <c r="GCO189" s="16"/>
      <c r="GCP189" s="16"/>
      <c r="GCQ189" s="16"/>
      <c r="GCR189" s="16"/>
      <c r="GCS189" s="16"/>
      <c r="GCT189" s="16"/>
      <c r="GCU189" s="16"/>
      <c r="GCV189" s="16"/>
      <c r="GCW189" s="16"/>
      <c r="GCX189" s="16"/>
      <c r="GCY189" s="16"/>
      <c r="GCZ189" s="16"/>
      <c r="GDA189" s="16"/>
      <c r="GDB189" s="16"/>
      <c r="GDC189" s="16"/>
      <c r="GDD189" s="16"/>
      <c r="GDE189" s="16"/>
      <c r="GDF189" s="16"/>
      <c r="GDG189" s="16"/>
      <c r="GDH189" s="16"/>
      <c r="GDI189" s="16"/>
      <c r="GDJ189" s="16"/>
      <c r="GDK189" s="16"/>
      <c r="GDL189" s="16"/>
      <c r="GDM189" s="16"/>
      <c r="GDN189" s="16"/>
      <c r="GDO189" s="16"/>
      <c r="GDP189" s="16"/>
      <c r="GDQ189" s="16"/>
      <c r="GDR189" s="16"/>
      <c r="GDS189" s="16"/>
      <c r="GDT189" s="16"/>
      <c r="GDU189" s="16"/>
      <c r="GDV189" s="16"/>
      <c r="GDW189" s="16"/>
      <c r="GDX189" s="16"/>
      <c r="GDY189" s="16"/>
      <c r="GDZ189" s="16"/>
      <c r="GEA189" s="16"/>
      <c r="GEB189" s="16"/>
      <c r="GEC189" s="16"/>
      <c r="GED189" s="16"/>
      <c r="GEE189" s="16"/>
      <c r="GEF189" s="16"/>
      <c r="GEG189" s="16"/>
      <c r="GEH189" s="16"/>
      <c r="GEI189" s="16"/>
      <c r="GEJ189" s="16"/>
      <c r="GEK189" s="16"/>
      <c r="GEL189" s="16"/>
      <c r="GEM189" s="16"/>
      <c r="GEN189" s="16"/>
      <c r="GEO189" s="16"/>
      <c r="GEP189" s="16"/>
      <c r="GEQ189" s="16"/>
      <c r="GER189" s="16"/>
      <c r="GES189" s="16"/>
      <c r="GET189" s="16"/>
      <c r="GEU189" s="16"/>
      <c r="GEV189" s="16"/>
      <c r="GEW189" s="16"/>
      <c r="GEX189" s="16"/>
      <c r="GEY189" s="16"/>
      <c r="GEZ189" s="16"/>
      <c r="GFA189" s="16"/>
      <c r="GFB189" s="16"/>
      <c r="GFC189" s="16"/>
      <c r="GFD189" s="16"/>
      <c r="GFE189" s="16"/>
      <c r="GFF189" s="16"/>
      <c r="GFG189" s="16"/>
      <c r="GFH189" s="16"/>
      <c r="GFI189" s="16"/>
      <c r="GFJ189" s="16"/>
      <c r="GFK189" s="16"/>
      <c r="GFL189" s="16"/>
      <c r="GFM189" s="16"/>
      <c r="GFN189" s="16"/>
      <c r="GFO189" s="16"/>
      <c r="GFP189" s="16"/>
      <c r="GFQ189" s="16"/>
      <c r="GFR189" s="16"/>
      <c r="GFS189" s="16"/>
      <c r="GFT189" s="16"/>
      <c r="GFU189" s="16"/>
      <c r="GFV189" s="16"/>
      <c r="GFW189" s="16"/>
      <c r="GFX189" s="16"/>
      <c r="GFY189" s="16"/>
      <c r="GFZ189" s="16"/>
      <c r="GGA189" s="16"/>
      <c r="GGB189" s="16"/>
      <c r="GGC189" s="16"/>
      <c r="GGD189" s="16"/>
      <c r="GGE189" s="16"/>
      <c r="GGF189" s="16"/>
      <c r="GGG189" s="16"/>
      <c r="GGH189" s="16"/>
      <c r="GGI189" s="16"/>
      <c r="GGJ189" s="16"/>
      <c r="GGK189" s="16"/>
      <c r="GGL189" s="16"/>
      <c r="GGM189" s="16"/>
      <c r="GGN189" s="16"/>
      <c r="GGO189" s="16"/>
      <c r="GGP189" s="16"/>
      <c r="GGQ189" s="16"/>
      <c r="GGR189" s="16"/>
      <c r="GGS189" s="16"/>
      <c r="GGT189" s="16"/>
      <c r="GGU189" s="16"/>
      <c r="GGV189" s="16"/>
      <c r="GGW189" s="16"/>
      <c r="GGX189" s="16"/>
      <c r="GGY189" s="16"/>
      <c r="GGZ189" s="16"/>
      <c r="GHA189" s="16"/>
      <c r="GHB189" s="16"/>
      <c r="GHC189" s="16"/>
      <c r="GHD189" s="16"/>
      <c r="GHE189" s="16"/>
      <c r="GHF189" s="16"/>
      <c r="GHG189" s="16"/>
      <c r="GHH189" s="16"/>
      <c r="GHI189" s="16"/>
      <c r="GHJ189" s="16"/>
      <c r="GHK189" s="16"/>
      <c r="GHL189" s="16"/>
      <c r="GHM189" s="16"/>
      <c r="GHN189" s="16"/>
      <c r="GHO189" s="16"/>
      <c r="GHP189" s="16"/>
      <c r="GHQ189" s="16"/>
      <c r="GHR189" s="16"/>
      <c r="GHS189" s="16"/>
      <c r="GHT189" s="16"/>
      <c r="GHU189" s="16"/>
      <c r="GHV189" s="16"/>
      <c r="GHW189" s="16"/>
      <c r="GHX189" s="16"/>
      <c r="GHY189" s="16"/>
      <c r="GHZ189" s="16"/>
      <c r="GIA189" s="16"/>
      <c r="GIB189" s="16"/>
      <c r="GIC189" s="16"/>
      <c r="GID189" s="16"/>
      <c r="GIE189" s="16"/>
      <c r="GIF189" s="16"/>
      <c r="GIG189" s="16"/>
      <c r="GIH189" s="16"/>
      <c r="GII189" s="16"/>
      <c r="GIJ189" s="16"/>
      <c r="GIK189" s="16"/>
      <c r="GIL189" s="16"/>
      <c r="GIM189" s="16"/>
      <c r="GIN189" s="16"/>
      <c r="GIO189" s="16"/>
      <c r="GIP189" s="16"/>
      <c r="GIQ189" s="16"/>
      <c r="GIR189" s="16"/>
      <c r="GIS189" s="16"/>
      <c r="GIT189" s="16"/>
      <c r="GIU189" s="16"/>
      <c r="GIV189" s="16"/>
      <c r="GIW189" s="16"/>
      <c r="GIX189" s="16"/>
      <c r="GIY189" s="16"/>
      <c r="GIZ189" s="16"/>
      <c r="GJA189" s="16"/>
      <c r="GJB189" s="16"/>
      <c r="GJC189" s="16"/>
      <c r="GJD189" s="16"/>
      <c r="GJE189" s="16"/>
      <c r="GJF189" s="16"/>
      <c r="GJG189" s="16"/>
      <c r="GJH189" s="16"/>
      <c r="GJI189" s="16"/>
      <c r="GJJ189" s="16"/>
      <c r="GJK189" s="16"/>
      <c r="GJL189" s="16"/>
      <c r="GJM189" s="16"/>
      <c r="GJN189" s="16"/>
      <c r="GJO189" s="16"/>
      <c r="GJP189" s="16"/>
      <c r="GJQ189" s="16"/>
      <c r="GJR189" s="16"/>
      <c r="GJS189" s="16"/>
      <c r="GJT189" s="16"/>
      <c r="GJU189" s="16"/>
      <c r="GJV189" s="16"/>
      <c r="GJW189" s="16"/>
      <c r="GJX189" s="16"/>
      <c r="GJY189" s="16"/>
      <c r="GJZ189" s="16"/>
      <c r="GKA189" s="16"/>
      <c r="GKB189" s="16"/>
      <c r="GKC189" s="16"/>
      <c r="GKD189" s="16"/>
      <c r="GKE189" s="16"/>
      <c r="GKF189" s="16"/>
      <c r="GKG189" s="16"/>
      <c r="GKH189" s="16"/>
      <c r="GKI189" s="16"/>
      <c r="GKJ189" s="16"/>
      <c r="GKK189" s="16"/>
      <c r="GKL189" s="16"/>
      <c r="GKM189" s="16"/>
      <c r="GKN189" s="16"/>
      <c r="GKO189" s="16"/>
      <c r="GKP189" s="16"/>
      <c r="GKQ189" s="16"/>
      <c r="GKR189" s="16"/>
      <c r="GKS189" s="16"/>
      <c r="GKT189" s="16"/>
      <c r="GKU189" s="16"/>
      <c r="GKV189" s="16"/>
      <c r="GKW189" s="16"/>
      <c r="GKX189" s="16"/>
      <c r="GKY189" s="16"/>
      <c r="GKZ189" s="16"/>
      <c r="GLA189" s="16"/>
      <c r="GLB189" s="16"/>
      <c r="GLC189" s="16"/>
      <c r="GLD189" s="16"/>
      <c r="GLE189" s="16"/>
      <c r="GLF189" s="16"/>
      <c r="GLG189" s="16"/>
      <c r="GLH189" s="16"/>
      <c r="GLI189" s="16"/>
      <c r="GLJ189" s="16"/>
      <c r="GLK189" s="16"/>
      <c r="GLL189" s="16"/>
      <c r="GLM189" s="16"/>
      <c r="GLN189" s="16"/>
      <c r="GLO189" s="16"/>
      <c r="GLP189" s="16"/>
      <c r="GLQ189" s="16"/>
      <c r="GLR189" s="16"/>
      <c r="GLS189" s="16"/>
      <c r="GLT189" s="16"/>
      <c r="GLU189" s="16"/>
      <c r="GLV189" s="16"/>
      <c r="GLW189" s="16"/>
      <c r="GLX189" s="16"/>
      <c r="GLY189" s="16"/>
      <c r="GLZ189" s="16"/>
      <c r="GMA189" s="16"/>
      <c r="GMB189" s="16"/>
      <c r="GMC189" s="16"/>
      <c r="GMD189" s="16"/>
      <c r="GME189" s="16"/>
      <c r="GMF189" s="16"/>
      <c r="GMG189" s="16"/>
      <c r="GMH189" s="16"/>
      <c r="GMI189" s="16"/>
      <c r="GMJ189" s="16"/>
      <c r="GMK189" s="16"/>
      <c r="GML189" s="16"/>
      <c r="GMM189" s="16"/>
      <c r="GMN189" s="16"/>
      <c r="GMO189" s="16"/>
      <c r="GMP189" s="16"/>
      <c r="GMQ189" s="16"/>
      <c r="GMR189" s="16"/>
      <c r="GMS189" s="16"/>
      <c r="GMT189" s="16"/>
      <c r="GMU189" s="16"/>
      <c r="GMV189" s="16"/>
      <c r="GMW189" s="16"/>
      <c r="GMX189" s="16"/>
      <c r="GMY189" s="16"/>
      <c r="GMZ189" s="16"/>
      <c r="GNA189" s="16"/>
      <c r="GNB189" s="16"/>
      <c r="GNC189" s="16"/>
      <c r="GND189" s="16"/>
      <c r="GNE189" s="16"/>
      <c r="GNF189" s="16"/>
      <c r="GNG189" s="16"/>
      <c r="GNH189" s="16"/>
      <c r="GNI189" s="16"/>
      <c r="GNJ189" s="16"/>
      <c r="GNK189" s="16"/>
      <c r="GNL189" s="16"/>
      <c r="GNM189" s="16"/>
      <c r="GNN189" s="16"/>
      <c r="GNO189" s="16"/>
      <c r="GNP189" s="16"/>
      <c r="GNQ189" s="16"/>
      <c r="GNR189" s="16"/>
      <c r="GNS189" s="16"/>
      <c r="GNT189" s="16"/>
      <c r="GNU189" s="16"/>
      <c r="GNV189" s="16"/>
      <c r="GNW189" s="16"/>
      <c r="GNX189" s="16"/>
      <c r="GNY189" s="16"/>
      <c r="GNZ189" s="16"/>
      <c r="GOA189" s="16"/>
      <c r="GOB189" s="16"/>
      <c r="GOC189" s="16"/>
      <c r="GOD189" s="16"/>
      <c r="GOE189" s="16"/>
      <c r="GOF189" s="16"/>
      <c r="GOG189" s="16"/>
      <c r="GOH189" s="16"/>
      <c r="GOI189" s="16"/>
      <c r="GOJ189" s="16"/>
      <c r="GOK189" s="16"/>
      <c r="GOL189" s="16"/>
      <c r="GOM189" s="16"/>
      <c r="GON189" s="16"/>
      <c r="GOO189" s="16"/>
      <c r="GOP189" s="16"/>
      <c r="GOQ189" s="16"/>
      <c r="GOR189" s="16"/>
      <c r="GOS189" s="16"/>
      <c r="GOT189" s="16"/>
      <c r="GOU189" s="16"/>
      <c r="GOV189" s="16"/>
      <c r="GOW189" s="16"/>
      <c r="GOX189" s="16"/>
      <c r="GOY189" s="16"/>
      <c r="GOZ189" s="16"/>
      <c r="GPA189" s="16"/>
      <c r="GPB189" s="16"/>
      <c r="GPC189" s="16"/>
      <c r="GPD189" s="16"/>
      <c r="GPE189" s="16"/>
      <c r="GPF189" s="16"/>
      <c r="GPG189" s="16"/>
      <c r="GPH189" s="16"/>
      <c r="GPI189" s="16"/>
      <c r="GPJ189" s="16"/>
      <c r="GPK189" s="16"/>
      <c r="GPL189" s="16"/>
      <c r="GPM189" s="16"/>
      <c r="GPN189" s="16"/>
      <c r="GPO189" s="16"/>
      <c r="GPP189" s="16"/>
      <c r="GPQ189" s="16"/>
      <c r="GPR189" s="16"/>
      <c r="GPS189" s="16"/>
      <c r="GPT189" s="16"/>
      <c r="GPU189" s="16"/>
      <c r="GPV189" s="16"/>
      <c r="GPW189" s="16"/>
      <c r="GPX189" s="16"/>
      <c r="GPY189" s="16"/>
      <c r="GPZ189" s="16"/>
      <c r="GQA189" s="16"/>
      <c r="GQB189" s="16"/>
      <c r="GQC189" s="16"/>
      <c r="GQD189" s="16"/>
      <c r="GQE189" s="16"/>
      <c r="GQF189" s="16"/>
      <c r="GQG189" s="16"/>
      <c r="GQH189" s="16"/>
      <c r="GQI189" s="16"/>
      <c r="GQJ189" s="16"/>
      <c r="GQK189" s="16"/>
      <c r="GQL189" s="16"/>
      <c r="GQM189" s="16"/>
      <c r="GQN189" s="16"/>
      <c r="GQO189" s="16"/>
      <c r="GQP189" s="16"/>
      <c r="GQQ189" s="16"/>
      <c r="GQR189" s="16"/>
      <c r="GQS189" s="16"/>
      <c r="GQT189" s="16"/>
      <c r="GQU189" s="16"/>
      <c r="GQV189" s="16"/>
      <c r="GQW189" s="16"/>
      <c r="GQX189" s="16"/>
      <c r="GQY189" s="16"/>
      <c r="GQZ189" s="16"/>
      <c r="GRA189" s="16"/>
      <c r="GRB189" s="16"/>
      <c r="GRC189" s="16"/>
      <c r="GRD189" s="16"/>
      <c r="GRE189" s="16"/>
      <c r="GRF189" s="16"/>
      <c r="GRG189" s="16"/>
      <c r="GRH189" s="16"/>
      <c r="GRI189" s="16"/>
      <c r="GRJ189" s="16"/>
      <c r="GRK189" s="16"/>
      <c r="GRL189" s="16"/>
      <c r="GRM189" s="16"/>
      <c r="GRN189" s="16"/>
      <c r="GRO189" s="16"/>
      <c r="GRP189" s="16"/>
      <c r="GRQ189" s="16"/>
      <c r="GRR189" s="16"/>
      <c r="GRS189" s="16"/>
      <c r="GRT189" s="16"/>
      <c r="GRU189" s="16"/>
      <c r="GRV189" s="16"/>
      <c r="GRW189" s="16"/>
      <c r="GRX189" s="16"/>
      <c r="GRY189" s="16"/>
      <c r="GRZ189" s="16"/>
      <c r="GSA189" s="16"/>
      <c r="GSB189" s="16"/>
      <c r="GSC189" s="16"/>
      <c r="GSD189" s="16"/>
      <c r="GSE189" s="16"/>
      <c r="GSF189" s="16"/>
      <c r="GSG189" s="16"/>
      <c r="GSH189" s="16"/>
      <c r="GSI189" s="16"/>
      <c r="GSJ189" s="16"/>
      <c r="GSK189" s="16"/>
      <c r="GSL189" s="16"/>
      <c r="GSM189" s="16"/>
      <c r="GSN189" s="16"/>
      <c r="GSO189" s="16"/>
      <c r="GSP189" s="16"/>
      <c r="GSQ189" s="16"/>
      <c r="GSR189" s="16"/>
      <c r="GSS189" s="16"/>
      <c r="GST189" s="16"/>
      <c r="GSU189" s="16"/>
      <c r="GSV189" s="16"/>
      <c r="GSW189" s="16"/>
      <c r="GSX189" s="16"/>
      <c r="GSY189" s="16"/>
      <c r="GSZ189" s="16"/>
      <c r="GTA189" s="16"/>
      <c r="GTB189" s="16"/>
      <c r="GTC189" s="16"/>
      <c r="GTD189" s="16"/>
      <c r="GTE189" s="16"/>
      <c r="GTF189" s="16"/>
      <c r="GTG189" s="16"/>
      <c r="GTH189" s="16"/>
      <c r="GTI189" s="16"/>
      <c r="GTJ189" s="16"/>
      <c r="GTK189" s="16"/>
      <c r="GTL189" s="16"/>
      <c r="GTM189" s="16"/>
      <c r="GTN189" s="16"/>
      <c r="GTO189" s="16"/>
      <c r="GTP189" s="16"/>
      <c r="GTQ189" s="16"/>
      <c r="GTR189" s="16"/>
      <c r="GTS189" s="16"/>
      <c r="GTT189" s="16"/>
      <c r="GTU189" s="16"/>
      <c r="GTV189" s="16"/>
      <c r="GTW189" s="16"/>
      <c r="GTX189" s="16"/>
      <c r="GTY189" s="16"/>
      <c r="GTZ189" s="16"/>
      <c r="GUA189" s="16"/>
      <c r="GUB189" s="16"/>
      <c r="GUC189" s="16"/>
      <c r="GUD189" s="16"/>
      <c r="GUE189" s="16"/>
      <c r="GUF189" s="16"/>
      <c r="GUG189" s="16"/>
      <c r="GUH189" s="16"/>
      <c r="GUI189" s="16"/>
      <c r="GUJ189" s="16"/>
      <c r="GUK189" s="16"/>
      <c r="GUL189" s="16"/>
      <c r="GUM189" s="16"/>
      <c r="GUN189" s="16"/>
      <c r="GUO189" s="16"/>
      <c r="GUP189" s="16"/>
      <c r="GUQ189" s="16"/>
      <c r="GUR189" s="16"/>
      <c r="GUS189" s="16"/>
      <c r="GUT189" s="16"/>
      <c r="GUU189" s="16"/>
      <c r="GUV189" s="16"/>
      <c r="GUW189" s="16"/>
      <c r="GUX189" s="16"/>
      <c r="GUY189" s="16"/>
      <c r="GUZ189" s="16"/>
      <c r="GVA189" s="16"/>
      <c r="GVB189" s="16"/>
      <c r="GVC189" s="16"/>
      <c r="GVD189" s="16"/>
      <c r="GVE189" s="16"/>
      <c r="GVF189" s="16"/>
      <c r="GVG189" s="16"/>
      <c r="GVH189" s="16"/>
      <c r="GVI189" s="16"/>
      <c r="GVJ189" s="16"/>
      <c r="GVK189" s="16"/>
      <c r="GVL189" s="16"/>
      <c r="GVM189" s="16"/>
      <c r="GVN189" s="16"/>
      <c r="GVO189" s="16"/>
      <c r="GVP189" s="16"/>
      <c r="GVQ189" s="16"/>
      <c r="GVR189" s="16"/>
      <c r="GVS189" s="16"/>
      <c r="GVT189" s="16"/>
      <c r="GVU189" s="16"/>
      <c r="GVV189" s="16"/>
      <c r="GVW189" s="16"/>
      <c r="GVX189" s="16"/>
      <c r="GVY189" s="16"/>
      <c r="GVZ189" s="16"/>
      <c r="GWA189" s="16"/>
      <c r="GWB189" s="16"/>
      <c r="GWC189" s="16"/>
      <c r="GWD189" s="16"/>
      <c r="GWE189" s="16"/>
      <c r="GWF189" s="16"/>
      <c r="GWG189" s="16"/>
      <c r="GWH189" s="16"/>
      <c r="GWI189" s="16"/>
      <c r="GWJ189" s="16"/>
      <c r="GWK189" s="16"/>
      <c r="GWL189" s="16"/>
      <c r="GWM189" s="16"/>
      <c r="GWN189" s="16"/>
      <c r="GWO189" s="16"/>
      <c r="GWP189" s="16"/>
      <c r="GWQ189" s="16"/>
      <c r="GWR189" s="16"/>
      <c r="GWS189" s="16"/>
      <c r="GWT189" s="16"/>
      <c r="GWU189" s="16"/>
      <c r="GWV189" s="16"/>
      <c r="GWW189" s="16"/>
      <c r="GWX189" s="16"/>
      <c r="GWY189" s="16"/>
      <c r="GWZ189" s="16"/>
      <c r="GXA189" s="16"/>
      <c r="GXB189" s="16"/>
      <c r="GXC189" s="16"/>
      <c r="GXD189" s="16"/>
      <c r="GXE189" s="16"/>
      <c r="GXF189" s="16"/>
      <c r="GXG189" s="16"/>
      <c r="GXH189" s="16"/>
      <c r="GXI189" s="16"/>
      <c r="GXJ189" s="16"/>
      <c r="GXK189" s="16"/>
      <c r="GXL189" s="16"/>
      <c r="GXM189" s="16"/>
      <c r="GXN189" s="16"/>
      <c r="GXO189" s="16"/>
      <c r="GXP189" s="16"/>
      <c r="GXQ189" s="16"/>
      <c r="GXR189" s="16"/>
      <c r="GXS189" s="16"/>
      <c r="GXT189" s="16"/>
      <c r="GXU189" s="16"/>
      <c r="GXV189" s="16"/>
      <c r="GXW189" s="16"/>
      <c r="GXX189" s="16"/>
      <c r="GXY189" s="16"/>
      <c r="GXZ189" s="16"/>
      <c r="GYA189" s="16"/>
      <c r="GYB189" s="16"/>
      <c r="GYC189" s="16"/>
      <c r="GYD189" s="16"/>
      <c r="GYE189" s="16"/>
      <c r="GYF189" s="16"/>
      <c r="GYG189" s="16"/>
      <c r="GYH189" s="16"/>
      <c r="GYI189" s="16"/>
      <c r="GYJ189" s="16"/>
      <c r="GYK189" s="16"/>
      <c r="GYL189" s="16"/>
      <c r="GYM189" s="16"/>
      <c r="GYN189" s="16"/>
      <c r="GYO189" s="16"/>
      <c r="GYP189" s="16"/>
      <c r="GYQ189" s="16"/>
      <c r="GYR189" s="16"/>
      <c r="GYS189" s="16"/>
      <c r="GYT189" s="16"/>
      <c r="GYU189" s="16"/>
      <c r="GYV189" s="16"/>
      <c r="GYW189" s="16"/>
      <c r="GYX189" s="16"/>
      <c r="GYY189" s="16"/>
      <c r="GYZ189" s="16"/>
      <c r="GZA189" s="16"/>
      <c r="GZB189" s="16"/>
      <c r="GZC189" s="16"/>
      <c r="GZD189" s="16"/>
      <c r="GZE189" s="16"/>
      <c r="GZF189" s="16"/>
      <c r="GZG189" s="16"/>
      <c r="GZH189" s="16"/>
      <c r="GZI189" s="16"/>
      <c r="GZJ189" s="16"/>
      <c r="GZK189" s="16"/>
      <c r="GZL189" s="16"/>
      <c r="GZM189" s="16"/>
      <c r="GZN189" s="16"/>
      <c r="GZO189" s="16"/>
      <c r="GZP189" s="16"/>
      <c r="GZQ189" s="16"/>
      <c r="GZR189" s="16"/>
      <c r="GZS189" s="16"/>
      <c r="GZT189" s="16"/>
      <c r="GZU189" s="16"/>
      <c r="GZV189" s="16"/>
      <c r="GZW189" s="16"/>
      <c r="GZX189" s="16"/>
      <c r="GZY189" s="16"/>
      <c r="GZZ189" s="16"/>
      <c r="HAA189" s="16"/>
      <c r="HAB189" s="16"/>
      <c r="HAC189" s="16"/>
      <c r="HAD189" s="16"/>
      <c r="HAE189" s="16"/>
      <c r="HAF189" s="16"/>
      <c r="HAG189" s="16"/>
      <c r="HAH189" s="16"/>
      <c r="HAI189" s="16"/>
      <c r="HAJ189" s="16"/>
      <c r="HAK189" s="16"/>
      <c r="HAL189" s="16"/>
      <c r="HAM189" s="16"/>
      <c r="HAN189" s="16"/>
      <c r="HAO189" s="16"/>
      <c r="HAP189" s="16"/>
      <c r="HAQ189" s="16"/>
      <c r="HAR189" s="16"/>
      <c r="HAS189" s="16"/>
      <c r="HAT189" s="16"/>
      <c r="HAU189" s="16"/>
      <c r="HAV189" s="16"/>
      <c r="HAW189" s="16"/>
      <c r="HAX189" s="16"/>
      <c r="HAY189" s="16"/>
      <c r="HAZ189" s="16"/>
      <c r="HBA189" s="16"/>
      <c r="HBB189" s="16"/>
      <c r="HBC189" s="16"/>
      <c r="HBD189" s="16"/>
      <c r="HBE189" s="16"/>
      <c r="HBF189" s="16"/>
      <c r="HBG189" s="16"/>
      <c r="HBH189" s="16"/>
      <c r="HBI189" s="16"/>
      <c r="HBJ189" s="16"/>
      <c r="HBK189" s="16"/>
      <c r="HBL189" s="16"/>
      <c r="HBM189" s="16"/>
      <c r="HBN189" s="16"/>
      <c r="HBO189" s="16"/>
      <c r="HBP189" s="16"/>
      <c r="HBQ189" s="16"/>
      <c r="HBR189" s="16"/>
      <c r="HBS189" s="16"/>
      <c r="HBT189" s="16"/>
      <c r="HBU189" s="16"/>
      <c r="HBV189" s="16"/>
      <c r="HBW189" s="16"/>
      <c r="HBX189" s="16"/>
      <c r="HBY189" s="16"/>
      <c r="HBZ189" s="16"/>
      <c r="HCA189" s="16"/>
      <c r="HCB189" s="16"/>
      <c r="HCC189" s="16"/>
      <c r="HCD189" s="16"/>
      <c r="HCE189" s="16"/>
      <c r="HCF189" s="16"/>
      <c r="HCG189" s="16"/>
      <c r="HCH189" s="16"/>
      <c r="HCI189" s="16"/>
      <c r="HCJ189" s="16"/>
      <c r="HCK189" s="16"/>
      <c r="HCL189" s="16"/>
      <c r="HCM189" s="16"/>
      <c r="HCN189" s="16"/>
      <c r="HCO189" s="16"/>
      <c r="HCP189" s="16"/>
      <c r="HCQ189" s="16"/>
      <c r="HCR189" s="16"/>
      <c r="HCS189" s="16"/>
      <c r="HCT189" s="16"/>
      <c r="HCU189" s="16"/>
      <c r="HCV189" s="16"/>
      <c r="HCW189" s="16"/>
      <c r="HCX189" s="16"/>
      <c r="HCY189" s="16"/>
      <c r="HCZ189" s="16"/>
      <c r="HDA189" s="16"/>
      <c r="HDB189" s="16"/>
      <c r="HDC189" s="16"/>
      <c r="HDD189" s="16"/>
      <c r="HDE189" s="16"/>
      <c r="HDF189" s="16"/>
      <c r="HDG189" s="16"/>
      <c r="HDH189" s="16"/>
      <c r="HDI189" s="16"/>
      <c r="HDJ189" s="16"/>
      <c r="HDK189" s="16"/>
      <c r="HDL189" s="16"/>
      <c r="HDM189" s="16"/>
      <c r="HDN189" s="16"/>
      <c r="HDO189" s="16"/>
      <c r="HDP189" s="16"/>
      <c r="HDQ189" s="16"/>
      <c r="HDR189" s="16"/>
      <c r="HDS189" s="16"/>
      <c r="HDT189" s="16"/>
      <c r="HDU189" s="16"/>
      <c r="HDV189" s="16"/>
      <c r="HDW189" s="16"/>
      <c r="HDX189" s="16"/>
      <c r="HDY189" s="16"/>
      <c r="HDZ189" s="16"/>
      <c r="HEA189" s="16"/>
      <c r="HEB189" s="16"/>
      <c r="HEC189" s="16"/>
      <c r="HED189" s="16"/>
      <c r="HEE189" s="16"/>
      <c r="HEF189" s="16"/>
      <c r="HEG189" s="16"/>
      <c r="HEH189" s="16"/>
      <c r="HEI189" s="16"/>
      <c r="HEJ189" s="16"/>
      <c r="HEK189" s="16"/>
      <c r="HEL189" s="16"/>
      <c r="HEM189" s="16"/>
      <c r="HEN189" s="16"/>
      <c r="HEO189" s="16"/>
      <c r="HEP189" s="16"/>
      <c r="HEQ189" s="16"/>
      <c r="HER189" s="16"/>
      <c r="HES189" s="16"/>
      <c r="HET189" s="16"/>
      <c r="HEU189" s="16"/>
      <c r="HEV189" s="16"/>
      <c r="HEW189" s="16"/>
      <c r="HEX189" s="16"/>
      <c r="HEY189" s="16"/>
      <c r="HEZ189" s="16"/>
      <c r="HFA189" s="16"/>
      <c r="HFB189" s="16"/>
      <c r="HFC189" s="16"/>
      <c r="HFD189" s="16"/>
      <c r="HFE189" s="16"/>
      <c r="HFF189" s="16"/>
      <c r="HFG189" s="16"/>
      <c r="HFH189" s="16"/>
      <c r="HFI189" s="16"/>
      <c r="HFJ189" s="16"/>
      <c r="HFK189" s="16"/>
      <c r="HFL189" s="16"/>
      <c r="HFM189" s="16"/>
      <c r="HFN189" s="16"/>
      <c r="HFO189" s="16"/>
      <c r="HFP189" s="16"/>
      <c r="HFQ189" s="16"/>
      <c r="HFR189" s="16"/>
      <c r="HFS189" s="16"/>
      <c r="HFT189" s="16"/>
      <c r="HFU189" s="16"/>
      <c r="HFV189" s="16"/>
      <c r="HFW189" s="16"/>
      <c r="HFX189" s="16"/>
      <c r="HFY189" s="16"/>
      <c r="HFZ189" s="16"/>
      <c r="HGA189" s="16"/>
      <c r="HGB189" s="16"/>
      <c r="HGC189" s="16"/>
      <c r="HGD189" s="16"/>
      <c r="HGE189" s="16"/>
      <c r="HGF189" s="16"/>
      <c r="HGG189" s="16"/>
      <c r="HGH189" s="16"/>
      <c r="HGI189" s="16"/>
      <c r="HGJ189" s="16"/>
      <c r="HGK189" s="16"/>
      <c r="HGL189" s="16"/>
      <c r="HGM189" s="16"/>
      <c r="HGN189" s="16"/>
      <c r="HGO189" s="16"/>
      <c r="HGP189" s="16"/>
      <c r="HGQ189" s="16"/>
      <c r="HGR189" s="16"/>
      <c r="HGS189" s="16"/>
      <c r="HGT189" s="16"/>
      <c r="HGU189" s="16"/>
      <c r="HGV189" s="16"/>
      <c r="HGW189" s="16"/>
      <c r="HGX189" s="16"/>
      <c r="HGY189" s="16"/>
      <c r="HGZ189" s="16"/>
      <c r="HHA189" s="16"/>
      <c r="HHB189" s="16"/>
      <c r="HHC189" s="16"/>
      <c r="HHD189" s="16"/>
      <c r="HHE189" s="16"/>
      <c r="HHF189" s="16"/>
      <c r="HHG189" s="16"/>
      <c r="HHH189" s="16"/>
      <c r="HHI189" s="16"/>
      <c r="HHJ189" s="16"/>
      <c r="HHK189" s="16"/>
      <c r="HHL189" s="16"/>
      <c r="HHM189" s="16"/>
      <c r="HHN189" s="16"/>
      <c r="HHO189" s="16"/>
      <c r="HHP189" s="16"/>
      <c r="HHQ189" s="16"/>
      <c r="HHR189" s="16"/>
      <c r="HHS189" s="16"/>
      <c r="HHT189" s="16"/>
      <c r="HHU189" s="16"/>
      <c r="HHV189" s="16"/>
      <c r="HHW189" s="16"/>
      <c r="HHX189" s="16"/>
      <c r="HHY189" s="16"/>
      <c r="HHZ189" s="16"/>
      <c r="HIA189" s="16"/>
      <c r="HIB189" s="16"/>
      <c r="HIC189" s="16"/>
      <c r="HID189" s="16"/>
      <c r="HIE189" s="16"/>
      <c r="HIF189" s="16"/>
      <c r="HIG189" s="16"/>
      <c r="HIH189" s="16"/>
      <c r="HII189" s="16"/>
      <c r="HIJ189" s="16"/>
      <c r="HIK189" s="16"/>
      <c r="HIL189" s="16"/>
      <c r="HIM189" s="16"/>
      <c r="HIN189" s="16"/>
      <c r="HIO189" s="16"/>
      <c r="HIP189" s="16"/>
      <c r="HIQ189" s="16"/>
      <c r="HIR189" s="16"/>
      <c r="HIS189" s="16"/>
      <c r="HIT189" s="16"/>
      <c r="HIU189" s="16"/>
      <c r="HIV189" s="16"/>
      <c r="HIW189" s="16"/>
      <c r="HIX189" s="16"/>
      <c r="HIY189" s="16"/>
      <c r="HIZ189" s="16"/>
      <c r="HJA189" s="16"/>
      <c r="HJB189" s="16"/>
      <c r="HJC189" s="16"/>
      <c r="HJD189" s="16"/>
      <c r="HJE189" s="16"/>
      <c r="HJF189" s="16"/>
      <c r="HJG189" s="16"/>
      <c r="HJH189" s="16"/>
      <c r="HJI189" s="16"/>
      <c r="HJJ189" s="16"/>
      <c r="HJK189" s="16"/>
      <c r="HJL189" s="16"/>
      <c r="HJM189" s="16"/>
      <c r="HJN189" s="16"/>
      <c r="HJO189" s="16"/>
      <c r="HJP189" s="16"/>
      <c r="HJQ189" s="16"/>
      <c r="HJR189" s="16"/>
      <c r="HJS189" s="16"/>
      <c r="HJT189" s="16"/>
      <c r="HJU189" s="16"/>
      <c r="HJV189" s="16"/>
      <c r="HJW189" s="16"/>
      <c r="HJX189" s="16"/>
      <c r="HJY189" s="16"/>
      <c r="HJZ189" s="16"/>
      <c r="HKA189" s="16"/>
      <c r="HKB189" s="16"/>
      <c r="HKC189" s="16"/>
      <c r="HKD189" s="16"/>
      <c r="HKE189" s="16"/>
      <c r="HKF189" s="16"/>
      <c r="HKG189" s="16"/>
      <c r="HKH189" s="16"/>
      <c r="HKI189" s="16"/>
      <c r="HKJ189" s="16"/>
      <c r="HKK189" s="16"/>
      <c r="HKL189" s="16"/>
      <c r="HKM189" s="16"/>
      <c r="HKN189" s="16"/>
      <c r="HKO189" s="16"/>
      <c r="HKP189" s="16"/>
      <c r="HKQ189" s="16"/>
      <c r="HKR189" s="16"/>
      <c r="HKS189" s="16"/>
      <c r="HKT189" s="16"/>
      <c r="HKU189" s="16"/>
      <c r="HKV189" s="16"/>
      <c r="HKW189" s="16"/>
      <c r="HKX189" s="16"/>
      <c r="HKY189" s="16"/>
      <c r="HKZ189" s="16"/>
      <c r="HLA189" s="16"/>
      <c r="HLB189" s="16"/>
      <c r="HLC189" s="16"/>
      <c r="HLD189" s="16"/>
      <c r="HLE189" s="16"/>
      <c r="HLF189" s="16"/>
      <c r="HLG189" s="16"/>
      <c r="HLH189" s="16"/>
      <c r="HLI189" s="16"/>
      <c r="HLJ189" s="16"/>
      <c r="HLK189" s="16"/>
      <c r="HLL189" s="16"/>
      <c r="HLM189" s="16"/>
      <c r="HLN189" s="16"/>
      <c r="HLO189" s="16"/>
      <c r="HLP189" s="16"/>
      <c r="HLQ189" s="16"/>
      <c r="HLR189" s="16"/>
      <c r="HLS189" s="16"/>
      <c r="HLT189" s="16"/>
      <c r="HLU189" s="16"/>
      <c r="HLV189" s="16"/>
      <c r="HLW189" s="16"/>
      <c r="HLX189" s="16"/>
      <c r="HLY189" s="16"/>
      <c r="HLZ189" s="16"/>
      <c r="HMA189" s="16"/>
      <c r="HMB189" s="16"/>
      <c r="HMC189" s="16"/>
      <c r="HMD189" s="16"/>
      <c r="HME189" s="16"/>
      <c r="HMF189" s="16"/>
      <c r="HMG189" s="16"/>
      <c r="HMH189" s="16"/>
      <c r="HMI189" s="16"/>
      <c r="HMJ189" s="16"/>
      <c r="HMK189" s="16"/>
      <c r="HML189" s="16"/>
      <c r="HMM189" s="16"/>
      <c r="HMN189" s="16"/>
      <c r="HMO189" s="16"/>
      <c r="HMP189" s="16"/>
      <c r="HMQ189" s="16"/>
      <c r="HMR189" s="16"/>
      <c r="HMS189" s="16"/>
      <c r="HMT189" s="16"/>
      <c r="HMU189" s="16"/>
      <c r="HMV189" s="16"/>
      <c r="HMW189" s="16"/>
      <c r="HMX189" s="16"/>
      <c r="HMY189" s="16"/>
      <c r="HMZ189" s="16"/>
      <c r="HNA189" s="16"/>
      <c r="HNB189" s="16"/>
      <c r="HNC189" s="16"/>
      <c r="HND189" s="16"/>
      <c r="HNE189" s="16"/>
      <c r="HNF189" s="16"/>
      <c r="HNG189" s="16"/>
      <c r="HNH189" s="16"/>
      <c r="HNI189" s="16"/>
      <c r="HNJ189" s="16"/>
      <c r="HNK189" s="16"/>
      <c r="HNL189" s="16"/>
      <c r="HNM189" s="16"/>
      <c r="HNN189" s="16"/>
      <c r="HNO189" s="16"/>
      <c r="HNP189" s="16"/>
      <c r="HNQ189" s="16"/>
      <c r="HNR189" s="16"/>
      <c r="HNS189" s="16"/>
      <c r="HNT189" s="16"/>
      <c r="HNU189" s="16"/>
      <c r="HNV189" s="16"/>
      <c r="HNW189" s="16"/>
      <c r="HNX189" s="16"/>
      <c r="HNY189" s="16"/>
      <c r="HNZ189" s="16"/>
      <c r="HOA189" s="16"/>
      <c r="HOB189" s="16"/>
      <c r="HOC189" s="16"/>
      <c r="HOD189" s="16"/>
      <c r="HOE189" s="16"/>
      <c r="HOF189" s="16"/>
      <c r="HOG189" s="16"/>
      <c r="HOH189" s="16"/>
      <c r="HOI189" s="16"/>
      <c r="HOJ189" s="16"/>
      <c r="HOK189" s="16"/>
      <c r="HOL189" s="16"/>
      <c r="HOM189" s="16"/>
      <c r="HON189" s="16"/>
      <c r="HOO189" s="16"/>
      <c r="HOP189" s="16"/>
      <c r="HOQ189" s="16"/>
      <c r="HOR189" s="16"/>
      <c r="HOS189" s="16"/>
      <c r="HOT189" s="16"/>
      <c r="HOU189" s="16"/>
      <c r="HOV189" s="16"/>
      <c r="HOW189" s="16"/>
      <c r="HOX189" s="16"/>
      <c r="HOY189" s="16"/>
      <c r="HOZ189" s="16"/>
      <c r="HPA189" s="16"/>
      <c r="HPB189" s="16"/>
      <c r="HPC189" s="16"/>
      <c r="HPD189" s="16"/>
      <c r="HPE189" s="16"/>
      <c r="HPF189" s="16"/>
      <c r="HPG189" s="16"/>
      <c r="HPH189" s="16"/>
      <c r="HPI189" s="16"/>
      <c r="HPJ189" s="16"/>
      <c r="HPK189" s="16"/>
      <c r="HPL189" s="16"/>
      <c r="HPM189" s="16"/>
      <c r="HPN189" s="16"/>
      <c r="HPO189" s="16"/>
      <c r="HPP189" s="16"/>
      <c r="HPQ189" s="16"/>
      <c r="HPR189" s="16"/>
      <c r="HPS189" s="16"/>
      <c r="HPT189" s="16"/>
      <c r="HPU189" s="16"/>
      <c r="HPV189" s="16"/>
      <c r="HPW189" s="16"/>
      <c r="HPX189" s="16"/>
      <c r="HPY189" s="16"/>
      <c r="HPZ189" s="16"/>
      <c r="HQA189" s="16"/>
      <c r="HQB189" s="16"/>
      <c r="HQC189" s="16"/>
      <c r="HQD189" s="16"/>
      <c r="HQE189" s="16"/>
      <c r="HQF189" s="16"/>
      <c r="HQG189" s="16"/>
      <c r="HQH189" s="16"/>
      <c r="HQI189" s="16"/>
      <c r="HQJ189" s="16"/>
      <c r="HQK189" s="16"/>
      <c r="HQL189" s="16"/>
      <c r="HQM189" s="16"/>
      <c r="HQN189" s="16"/>
      <c r="HQO189" s="16"/>
      <c r="HQP189" s="16"/>
      <c r="HQQ189" s="16"/>
      <c r="HQR189" s="16"/>
      <c r="HQS189" s="16"/>
      <c r="HQT189" s="16"/>
      <c r="HQU189" s="16"/>
      <c r="HQV189" s="16"/>
      <c r="HQW189" s="16"/>
      <c r="HQX189" s="16"/>
      <c r="HQY189" s="16"/>
      <c r="HQZ189" s="16"/>
      <c r="HRA189" s="16"/>
      <c r="HRB189" s="16"/>
      <c r="HRC189" s="16"/>
      <c r="HRD189" s="16"/>
      <c r="HRE189" s="16"/>
      <c r="HRF189" s="16"/>
      <c r="HRG189" s="16"/>
      <c r="HRH189" s="16"/>
      <c r="HRI189" s="16"/>
      <c r="HRJ189" s="16"/>
      <c r="HRK189" s="16"/>
      <c r="HRL189" s="16"/>
      <c r="HRM189" s="16"/>
      <c r="HRN189" s="16"/>
      <c r="HRO189" s="16"/>
      <c r="HRP189" s="16"/>
      <c r="HRQ189" s="16"/>
      <c r="HRR189" s="16"/>
      <c r="HRS189" s="16"/>
      <c r="HRT189" s="16"/>
      <c r="HRU189" s="16"/>
      <c r="HRV189" s="16"/>
      <c r="HRW189" s="16"/>
      <c r="HRX189" s="16"/>
      <c r="HRY189" s="16"/>
      <c r="HRZ189" s="16"/>
      <c r="HSA189" s="16"/>
      <c r="HSB189" s="16"/>
      <c r="HSC189" s="16"/>
      <c r="HSD189" s="16"/>
      <c r="HSE189" s="16"/>
      <c r="HSF189" s="16"/>
      <c r="HSG189" s="16"/>
      <c r="HSH189" s="16"/>
      <c r="HSI189" s="16"/>
      <c r="HSJ189" s="16"/>
      <c r="HSK189" s="16"/>
      <c r="HSL189" s="16"/>
      <c r="HSM189" s="16"/>
      <c r="HSN189" s="16"/>
      <c r="HSO189" s="16"/>
      <c r="HSP189" s="16"/>
      <c r="HSQ189" s="16"/>
      <c r="HSR189" s="16"/>
      <c r="HSS189" s="16"/>
      <c r="HST189" s="16"/>
      <c r="HSU189" s="16"/>
      <c r="HSV189" s="16"/>
      <c r="HSW189" s="16"/>
      <c r="HSX189" s="16"/>
      <c r="HSY189" s="16"/>
      <c r="HSZ189" s="16"/>
      <c r="HTA189" s="16"/>
      <c r="HTB189" s="16"/>
      <c r="HTC189" s="16"/>
      <c r="HTD189" s="16"/>
      <c r="HTE189" s="16"/>
      <c r="HTF189" s="16"/>
      <c r="HTG189" s="16"/>
      <c r="HTH189" s="16"/>
      <c r="HTI189" s="16"/>
      <c r="HTJ189" s="16"/>
      <c r="HTK189" s="16"/>
      <c r="HTL189" s="16"/>
      <c r="HTM189" s="16"/>
      <c r="HTN189" s="16"/>
      <c r="HTO189" s="16"/>
      <c r="HTP189" s="16"/>
      <c r="HTQ189" s="16"/>
      <c r="HTR189" s="16"/>
      <c r="HTS189" s="16"/>
      <c r="HTT189" s="16"/>
      <c r="HTU189" s="16"/>
      <c r="HTV189" s="16"/>
      <c r="HTW189" s="16"/>
      <c r="HTX189" s="16"/>
      <c r="HTY189" s="16"/>
      <c r="HTZ189" s="16"/>
      <c r="HUA189" s="16"/>
      <c r="HUB189" s="16"/>
      <c r="HUC189" s="16"/>
      <c r="HUD189" s="16"/>
      <c r="HUE189" s="16"/>
      <c r="HUF189" s="16"/>
      <c r="HUG189" s="16"/>
      <c r="HUH189" s="16"/>
      <c r="HUI189" s="16"/>
      <c r="HUJ189" s="16"/>
      <c r="HUK189" s="16"/>
      <c r="HUL189" s="16"/>
      <c r="HUM189" s="16"/>
      <c r="HUN189" s="16"/>
      <c r="HUO189" s="16"/>
      <c r="HUP189" s="16"/>
      <c r="HUQ189" s="16"/>
      <c r="HUR189" s="16"/>
      <c r="HUS189" s="16"/>
      <c r="HUT189" s="16"/>
      <c r="HUU189" s="16"/>
      <c r="HUV189" s="16"/>
      <c r="HUW189" s="16"/>
      <c r="HUX189" s="16"/>
      <c r="HUY189" s="16"/>
      <c r="HUZ189" s="16"/>
      <c r="HVA189" s="16"/>
      <c r="HVB189" s="16"/>
      <c r="HVC189" s="16"/>
      <c r="HVD189" s="16"/>
      <c r="HVE189" s="16"/>
      <c r="HVF189" s="16"/>
      <c r="HVG189" s="16"/>
      <c r="HVH189" s="16"/>
      <c r="HVI189" s="16"/>
      <c r="HVJ189" s="16"/>
      <c r="HVK189" s="16"/>
      <c r="HVL189" s="16"/>
      <c r="HVM189" s="16"/>
      <c r="HVN189" s="16"/>
      <c r="HVO189" s="16"/>
      <c r="HVP189" s="16"/>
      <c r="HVQ189" s="16"/>
      <c r="HVR189" s="16"/>
      <c r="HVS189" s="16"/>
      <c r="HVT189" s="16"/>
      <c r="HVU189" s="16"/>
      <c r="HVV189" s="16"/>
      <c r="HVW189" s="16"/>
      <c r="HVX189" s="16"/>
      <c r="HVY189" s="16"/>
      <c r="HVZ189" s="16"/>
      <c r="HWA189" s="16"/>
      <c r="HWB189" s="16"/>
      <c r="HWC189" s="16"/>
      <c r="HWD189" s="16"/>
      <c r="HWE189" s="16"/>
      <c r="HWF189" s="16"/>
      <c r="HWG189" s="16"/>
      <c r="HWH189" s="16"/>
      <c r="HWI189" s="16"/>
      <c r="HWJ189" s="16"/>
      <c r="HWK189" s="16"/>
      <c r="HWL189" s="16"/>
      <c r="HWM189" s="16"/>
      <c r="HWN189" s="16"/>
      <c r="HWO189" s="16"/>
      <c r="HWP189" s="16"/>
      <c r="HWQ189" s="16"/>
      <c r="HWR189" s="16"/>
      <c r="HWS189" s="16"/>
      <c r="HWT189" s="16"/>
      <c r="HWU189" s="16"/>
      <c r="HWV189" s="16"/>
      <c r="HWW189" s="16"/>
      <c r="HWX189" s="16"/>
      <c r="HWY189" s="16"/>
      <c r="HWZ189" s="16"/>
      <c r="HXA189" s="16"/>
      <c r="HXB189" s="16"/>
      <c r="HXC189" s="16"/>
      <c r="HXD189" s="16"/>
      <c r="HXE189" s="16"/>
      <c r="HXF189" s="16"/>
      <c r="HXG189" s="16"/>
      <c r="HXH189" s="16"/>
      <c r="HXI189" s="16"/>
      <c r="HXJ189" s="16"/>
      <c r="HXK189" s="16"/>
      <c r="HXL189" s="16"/>
      <c r="HXM189" s="16"/>
      <c r="HXN189" s="16"/>
      <c r="HXO189" s="16"/>
      <c r="HXP189" s="16"/>
      <c r="HXQ189" s="16"/>
      <c r="HXR189" s="16"/>
      <c r="HXS189" s="16"/>
      <c r="HXT189" s="16"/>
      <c r="HXU189" s="16"/>
      <c r="HXV189" s="16"/>
      <c r="HXW189" s="16"/>
      <c r="HXX189" s="16"/>
      <c r="HXY189" s="16"/>
      <c r="HXZ189" s="16"/>
      <c r="HYA189" s="16"/>
      <c r="HYB189" s="16"/>
      <c r="HYC189" s="16"/>
      <c r="HYD189" s="16"/>
      <c r="HYE189" s="16"/>
      <c r="HYF189" s="16"/>
      <c r="HYG189" s="16"/>
      <c r="HYH189" s="16"/>
      <c r="HYI189" s="16"/>
      <c r="HYJ189" s="16"/>
      <c r="HYK189" s="16"/>
      <c r="HYL189" s="16"/>
      <c r="HYM189" s="16"/>
      <c r="HYN189" s="16"/>
      <c r="HYO189" s="16"/>
      <c r="HYP189" s="16"/>
      <c r="HYQ189" s="16"/>
      <c r="HYR189" s="16"/>
      <c r="HYS189" s="16"/>
      <c r="HYT189" s="16"/>
      <c r="HYU189" s="16"/>
      <c r="HYV189" s="16"/>
      <c r="HYW189" s="16"/>
      <c r="HYX189" s="16"/>
      <c r="HYY189" s="16"/>
      <c r="HYZ189" s="16"/>
      <c r="HZA189" s="16"/>
      <c r="HZB189" s="16"/>
      <c r="HZC189" s="16"/>
      <c r="HZD189" s="16"/>
      <c r="HZE189" s="16"/>
      <c r="HZF189" s="16"/>
      <c r="HZG189" s="16"/>
      <c r="HZH189" s="16"/>
      <c r="HZI189" s="16"/>
      <c r="HZJ189" s="16"/>
      <c r="HZK189" s="16"/>
      <c r="HZL189" s="16"/>
      <c r="HZM189" s="16"/>
      <c r="HZN189" s="16"/>
      <c r="HZO189" s="16"/>
      <c r="HZP189" s="16"/>
      <c r="HZQ189" s="16"/>
      <c r="HZR189" s="16"/>
      <c r="HZS189" s="16"/>
      <c r="HZT189" s="16"/>
      <c r="HZU189" s="16"/>
      <c r="HZV189" s="16"/>
      <c r="HZW189" s="16"/>
      <c r="HZX189" s="16"/>
      <c r="HZY189" s="16"/>
      <c r="HZZ189" s="16"/>
      <c r="IAA189" s="16"/>
      <c r="IAB189" s="16"/>
      <c r="IAC189" s="16"/>
      <c r="IAD189" s="16"/>
      <c r="IAE189" s="16"/>
      <c r="IAF189" s="16"/>
      <c r="IAG189" s="16"/>
      <c r="IAH189" s="16"/>
      <c r="IAI189" s="16"/>
      <c r="IAJ189" s="16"/>
      <c r="IAK189" s="16"/>
      <c r="IAL189" s="16"/>
      <c r="IAM189" s="16"/>
      <c r="IAN189" s="16"/>
      <c r="IAO189" s="16"/>
      <c r="IAP189" s="16"/>
      <c r="IAQ189" s="16"/>
      <c r="IAR189" s="16"/>
      <c r="IAS189" s="16"/>
      <c r="IAT189" s="16"/>
      <c r="IAU189" s="16"/>
      <c r="IAV189" s="16"/>
      <c r="IAW189" s="16"/>
      <c r="IAX189" s="16"/>
      <c r="IAY189" s="16"/>
      <c r="IAZ189" s="16"/>
      <c r="IBA189" s="16"/>
      <c r="IBB189" s="16"/>
      <c r="IBC189" s="16"/>
      <c r="IBD189" s="16"/>
      <c r="IBE189" s="16"/>
      <c r="IBF189" s="16"/>
      <c r="IBG189" s="16"/>
      <c r="IBH189" s="16"/>
      <c r="IBI189" s="16"/>
      <c r="IBJ189" s="16"/>
      <c r="IBK189" s="16"/>
      <c r="IBL189" s="16"/>
      <c r="IBM189" s="16"/>
      <c r="IBN189" s="16"/>
      <c r="IBO189" s="16"/>
      <c r="IBP189" s="16"/>
      <c r="IBQ189" s="16"/>
      <c r="IBR189" s="16"/>
      <c r="IBS189" s="16"/>
      <c r="IBT189" s="16"/>
      <c r="IBU189" s="16"/>
      <c r="IBV189" s="16"/>
      <c r="IBW189" s="16"/>
      <c r="IBX189" s="16"/>
      <c r="IBY189" s="16"/>
      <c r="IBZ189" s="16"/>
      <c r="ICA189" s="16"/>
      <c r="ICB189" s="16"/>
      <c r="ICC189" s="16"/>
      <c r="ICD189" s="16"/>
      <c r="ICE189" s="16"/>
      <c r="ICF189" s="16"/>
      <c r="ICG189" s="16"/>
      <c r="ICH189" s="16"/>
      <c r="ICI189" s="16"/>
      <c r="ICJ189" s="16"/>
      <c r="ICK189" s="16"/>
      <c r="ICL189" s="16"/>
      <c r="ICM189" s="16"/>
      <c r="ICN189" s="16"/>
      <c r="ICO189" s="16"/>
      <c r="ICP189" s="16"/>
      <c r="ICQ189" s="16"/>
      <c r="ICR189" s="16"/>
      <c r="ICS189" s="16"/>
      <c r="ICT189" s="16"/>
      <c r="ICU189" s="16"/>
      <c r="ICV189" s="16"/>
      <c r="ICW189" s="16"/>
      <c r="ICX189" s="16"/>
      <c r="ICY189" s="16"/>
      <c r="ICZ189" s="16"/>
      <c r="IDA189" s="16"/>
      <c r="IDB189" s="16"/>
      <c r="IDC189" s="16"/>
      <c r="IDD189" s="16"/>
      <c r="IDE189" s="16"/>
      <c r="IDF189" s="16"/>
      <c r="IDG189" s="16"/>
      <c r="IDH189" s="16"/>
      <c r="IDI189" s="16"/>
      <c r="IDJ189" s="16"/>
      <c r="IDK189" s="16"/>
      <c r="IDL189" s="16"/>
      <c r="IDM189" s="16"/>
      <c r="IDN189" s="16"/>
      <c r="IDO189" s="16"/>
      <c r="IDP189" s="16"/>
      <c r="IDQ189" s="16"/>
      <c r="IDR189" s="16"/>
      <c r="IDS189" s="16"/>
      <c r="IDT189" s="16"/>
      <c r="IDU189" s="16"/>
      <c r="IDV189" s="16"/>
      <c r="IDW189" s="16"/>
      <c r="IDX189" s="16"/>
      <c r="IDY189" s="16"/>
      <c r="IDZ189" s="16"/>
      <c r="IEA189" s="16"/>
      <c r="IEB189" s="16"/>
      <c r="IEC189" s="16"/>
      <c r="IED189" s="16"/>
      <c r="IEE189" s="16"/>
      <c r="IEF189" s="16"/>
      <c r="IEG189" s="16"/>
      <c r="IEH189" s="16"/>
      <c r="IEI189" s="16"/>
      <c r="IEJ189" s="16"/>
      <c r="IEK189" s="16"/>
      <c r="IEL189" s="16"/>
      <c r="IEM189" s="16"/>
      <c r="IEN189" s="16"/>
      <c r="IEO189" s="16"/>
      <c r="IEP189" s="16"/>
      <c r="IEQ189" s="16"/>
      <c r="IER189" s="16"/>
      <c r="IES189" s="16"/>
      <c r="IET189" s="16"/>
      <c r="IEU189" s="16"/>
      <c r="IEV189" s="16"/>
      <c r="IEW189" s="16"/>
      <c r="IEX189" s="16"/>
      <c r="IEY189" s="16"/>
      <c r="IEZ189" s="16"/>
      <c r="IFA189" s="16"/>
      <c r="IFB189" s="16"/>
      <c r="IFC189" s="16"/>
      <c r="IFD189" s="16"/>
      <c r="IFE189" s="16"/>
      <c r="IFF189" s="16"/>
      <c r="IFG189" s="16"/>
      <c r="IFH189" s="16"/>
      <c r="IFI189" s="16"/>
      <c r="IFJ189" s="16"/>
      <c r="IFK189" s="16"/>
      <c r="IFL189" s="16"/>
      <c r="IFM189" s="16"/>
      <c r="IFN189" s="16"/>
      <c r="IFO189" s="16"/>
      <c r="IFP189" s="16"/>
      <c r="IFQ189" s="16"/>
      <c r="IFR189" s="16"/>
      <c r="IFS189" s="16"/>
      <c r="IFT189" s="16"/>
      <c r="IFU189" s="16"/>
      <c r="IFV189" s="16"/>
      <c r="IFW189" s="16"/>
      <c r="IFX189" s="16"/>
      <c r="IFY189" s="16"/>
      <c r="IFZ189" s="16"/>
      <c r="IGA189" s="16"/>
      <c r="IGB189" s="16"/>
      <c r="IGC189" s="16"/>
      <c r="IGD189" s="16"/>
      <c r="IGE189" s="16"/>
      <c r="IGF189" s="16"/>
      <c r="IGG189" s="16"/>
      <c r="IGH189" s="16"/>
      <c r="IGI189" s="16"/>
      <c r="IGJ189" s="16"/>
      <c r="IGK189" s="16"/>
      <c r="IGL189" s="16"/>
      <c r="IGM189" s="16"/>
      <c r="IGN189" s="16"/>
      <c r="IGO189" s="16"/>
      <c r="IGP189" s="16"/>
      <c r="IGQ189" s="16"/>
      <c r="IGR189" s="16"/>
      <c r="IGS189" s="16"/>
      <c r="IGT189" s="16"/>
      <c r="IGU189" s="16"/>
      <c r="IGV189" s="16"/>
      <c r="IGW189" s="16"/>
      <c r="IGX189" s="16"/>
      <c r="IGY189" s="16"/>
      <c r="IGZ189" s="16"/>
      <c r="IHA189" s="16"/>
      <c r="IHB189" s="16"/>
      <c r="IHC189" s="16"/>
      <c r="IHD189" s="16"/>
      <c r="IHE189" s="16"/>
      <c r="IHF189" s="16"/>
      <c r="IHG189" s="16"/>
      <c r="IHH189" s="16"/>
      <c r="IHI189" s="16"/>
      <c r="IHJ189" s="16"/>
      <c r="IHK189" s="16"/>
      <c r="IHL189" s="16"/>
      <c r="IHM189" s="16"/>
      <c r="IHN189" s="16"/>
      <c r="IHO189" s="16"/>
      <c r="IHP189" s="16"/>
      <c r="IHQ189" s="16"/>
      <c r="IHR189" s="16"/>
      <c r="IHS189" s="16"/>
      <c r="IHT189" s="16"/>
      <c r="IHU189" s="16"/>
      <c r="IHV189" s="16"/>
      <c r="IHW189" s="16"/>
      <c r="IHX189" s="16"/>
      <c r="IHY189" s="16"/>
      <c r="IHZ189" s="16"/>
      <c r="IIA189" s="16"/>
      <c r="IIB189" s="16"/>
      <c r="IIC189" s="16"/>
      <c r="IID189" s="16"/>
      <c r="IIE189" s="16"/>
      <c r="IIF189" s="16"/>
      <c r="IIG189" s="16"/>
      <c r="IIH189" s="16"/>
      <c r="III189" s="16"/>
      <c r="IIJ189" s="16"/>
      <c r="IIK189" s="16"/>
      <c r="IIL189" s="16"/>
      <c r="IIM189" s="16"/>
      <c r="IIN189" s="16"/>
      <c r="IIO189" s="16"/>
      <c r="IIP189" s="16"/>
      <c r="IIQ189" s="16"/>
      <c r="IIR189" s="16"/>
      <c r="IIS189" s="16"/>
      <c r="IIT189" s="16"/>
      <c r="IIU189" s="16"/>
      <c r="IIV189" s="16"/>
      <c r="IIW189" s="16"/>
      <c r="IIX189" s="16"/>
      <c r="IIY189" s="16"/>
      <c r="IIZ189" s="16"/>
      <c r="IJA189" s="16"/>
      <c r="IJB189" s="16"/>
      <c r="IJC189" s="16"/>
      <c r="IJD189" s="16"/>
      <c r="IJE189" s="16"/>
      <c r="IJF189" s="16"/>
      <c r="IJG189" s="16"/>
      <c r="IJH189" s="16"/>
      <c r="IJI189" s="16"/>
      <c r="IJJ189" s="16"/>
      <c r="IJK189" s="16"/>
      <c r="IJL189" s="16"/>
      <c r="IJM189" s="16"/>
      <c r="IJN189" s="16"/>
      <c r="IJO189" s="16"/>
      <c r="IJP189" s="16"/>
      <c r="IJQ189" s="16"/>
      <c r="IJR189" s="16"/>
      <c r="IJS189" s="16"/>
      <c r="IJT189" s="16"/>
      <c r="IJU189" s="16"/>
      <c r="IJV189" s="16"/>
      <c r="IJW189" s="16"/>
      <c r="IJX189" s="16"/>
      <c r="IJY189" s="16"/>
      <c r="IJZ189" s="16"/>
      <c r="IKA189" s="16"/>
      <c r="IKB189" s="16"/>
      <c r="IKC189" s="16"/>
      <c r="IKD189" s="16"/>
      <c r="IKE189" s="16"/>
      <c r="IKF189" s="16"/>
      <c r="IKG189" s="16"/>
      <c r="IKH189" s="16"/>
      <c r="IKI189" s="16"/>
      <c r="IKJ189" s="16"/>
      <c r="IKK189" s="16"/>
      <c r="IKL189" s="16"/>
      <c r="IKM189" s="16"/>
      <c r="IKN189" s="16"/>
      <c r="IKO189" s="16"/>
      <c r="IKP189" s="16"/>
      <c r="IKQ189" s="16"/>
      <c r="IKR189" s="16"/>
      <c r="IKS189" s="16"/>
      <c r="IKT189" s="16"/>
      <c r="IKU189" s="16"/>
      <c r="IKV189" s="16"/>
      <c r="IKW189" s="16"/>
      <c r="IKX189" s="16"/>
      <c r="IKY189" s="16"/>
      <c r="IKZ189" s="16"/>
      <c r="ILA189" s="16"/>
      <c r="ILB189" s="16"/>
      <c r="ILC189" s="16"/>
      <c r="ILD189" s="16"/>
      <c r="ILE189" s="16"/>
      <c r="ILF189" s="16"/>
      <c r="ILG189" s="16"/>
      <c r="ILH189" s="16"/>
      <c r="ILI189" s="16"/>
      <c r="ILJ189" s="16"/>
      <c r="ILK189" s="16"/>
      <c r="ILL189" s="16"/>
      <c r="ILM189" s="16"/>
      <c r="ILN189" s="16"/>
      <c r="ILO189" s="16"/>
      <c r="ILP189" s="16"/>
      <c r="ILQ189" s="16"/>
      <c r="ILR189" s="16"/>
      <c r="ILS189" s="16"/>
      <c r="ILT189" s="16"/>
      <c r="ILU189" s="16"/>
      <c r="ILV189" s="16"/>
      <c r="ILW189" s="16"/>
      <c r="ILX189" s="16"/>
      <c r="ILY189" s="16"/>
      <c r="ILZ189" s="16"/>
      <c r="IMA189" s="16"/>
      <c r="IMB189" s="16"/>
      <c r="IMC189" s="16"/>
      <c r="IMD189" s="16"/>
      <c r="IME189" s="16"/>
      <c r="IMF189" s="16"/>
      <c r="IMG189" s="16"/>
      <c r="IMH189" s="16"/>
      <c r="IMI189" s="16"/>
      <c r="IMJ189" s="16"/>
      <c r="IMK189" s="16"/>
      <c r="IML189" s="16"/>
      <c r="IMM189" s="16"/>
      <c r="IMN189" s="16"/>
      <c r="IMO189" s="16"/>
      <c r="IMP189" s="16"/>
      <c r="IMQ189" s="16"/>
      <c r="IMR189" s="16"/>
      <c r="IMS189" s="16"/>
      <c r="IMT189" s="16"/>
      <c r="IMU189" s="16"/>
      <c r="IMV189" s="16"/>
      <c r="IMW189" s="16"/>
      <c r="IMX189" s="16"/>
      <c r="IMY189" s="16"/>
      <c r="IMZ189" s="16"/>
      <c r="INA189" s="16"/>
      <c r="INB189" s="16"/>
      <c r="INC189" s="16"/>
      <c r="IND189" s="16"/>
      <c r="INE189" s="16"/>
      <c r="INF189" s="16"/>
      <c r="ING189" s="16"/>
      <c r="INH189" s="16"/>
      <c r="INI189" s="16"/>
      <c r="INJ189" s="16"/>
      <c r="INK189" s="16"/>
      <c r="INL189" s="16"/>
      <c r="INM189" s="16"/>
      <c r="INN189" s="16"/>
      <c r="INO189" s="16"/>
      <c r="INP189" s="16"/>
      <c r="INQ189" s="16"/>
      <c r="INR189" s="16"/>
      <c r="INS189" s="16"/>
      <c r="INT189" s="16"/>
      <c r="INU189" s="16"/>
      <c r="INV189" s="16"/>
      <c r="INW189" s="16"/>
      <c r="INX189" s="16"/>
      <c r="INY189" s="16"/>
      <c r="INZ189" s="16"/>
      <c r="IOA189" s="16"/>
      <c r="IOB189" s="16"/>
      <c r="IOC189" s="16"/>
      <c r="IOD189" s="16"/>
      <c r="IOE189" s="16"/>
      <c r="IOF189" s="16"/>
      <c r="IOG189" s="16"/>
      <c r="IOH189" s="16"/>
      <c r="IOI189" s="16"/>
      <c r="IOJ189" s="16"/>
      <c r="IOK189" s="16"/>
      <c r="IOL189" s="16"/>
      <c r="IOM189" s="16"/>
      <c r="ION189" s="16"/>
      <c r="IOO189" s="16"/>
      <c r="IOP189" s="16"/>
      <c r="IOQ189" s="16"/>
      <c r="IOR189" s="16"/>
      <c r="IOS189" s="16"/>
      <c r="IOT189" s="16"/>
      <c r="IOU189" s="16"/>
      <c r="IOV189" s="16"/>
      <c r="IOW189" s="16"/>
      <c r="IOX189" s="16"/>
      <c r="IOY189" s="16"/>
      <c r="IOZ189" s="16"/>
      <c r="IPA189" s="16"/>
      <c r="IPB189" s="16"/>
      <c r="IPC189" s="16"/>
      <c r="IPD189" s="16"/>
      <c r="IPE189" s="16"/>
      <c r="IPF189" s="16"/>
      <c r="IPG189" s="16"/>
      <c r="IPH189" s="16"/>
      <c r="IPI189" s="16"/>
      <c r="IPJ189" s="16"/>
      <c r="IPK189" s="16"/>
      <c r="IPL189" s="16"/>
      <c r="IPM189" s="16"/>
      <c r="IPN189" s="16"/>
      <c r="IPO189" s="16"/>
      <c r="IPP189" s="16"/>
      <c r="IPQ189" s="16"/>
      <c r="IPR189" s="16"/>
      <c r="IPS189" s="16"/>
      <c r="IPT189" s="16"/>
      <c r="IPU189" s="16"/>
      <c r="IPV189" s="16"/>
      <c r="IPW189" s="16"/>
      <c r="IPX189" s="16"/>
      <c r="IPY189" s="16"/>
      <c r="IPZ189" s="16"/>
      <c r="IQA189" s="16"/>
      <c r="IQB189" s="16"/>
      <c r="IQC189" s="16"/>
      <c r="IQD189" s="16"/>
      <c r="IQE189" s="16"/>
      <c r="IQF189" s="16"/>
      <c r="IQG189" s="16"/>
      <c r="IQH189" s="16"/>
      <c r="IQI189" s="16"/>
      <c r="IQJ189" s="16"/>
      <c r="IQK189" s="16"/>
      <c r="IQL189" s="16"/>
      <c r="IQM189" s="16"/>
      <c r="IQN189" s="16"/>
      <c r="IQO189" s="16"/>
      <c r="IQP189" s="16"/>
      <c r="IQQ189" s="16"/>
      <c r="IQR189" s="16"/>
      <c r="IQS189" s="16"/>
      <c r="IQT189" s="16"/>
      <c r="IQU189" s="16"/>
      <c r="IQV189" s="16"/>
      <c r="IQW189" s="16"/>
      <c r="IQX189" s="16"/>
      <c r="IQY189" s="16"/>
      <c r="IQZ189" s="16"/>
      <c r="IRA189" s="16"/>
      <c r="IRB189" s="16"/>
      <c r="IRC189" s="16"/>
      <c r="IRD189" s="16"/>
      <c r="IRE189" s="16"/>
      <c r="IRF189" s="16"/>
      <c r="IRG189" s="16"/>
      <c r="IRH189" s="16"/>
      <c r="IRI189" s="16"/>
      <c r="IRJ189" s="16"/>
      <c r="IRK189" s="16"/>
      <c r="IRL189" s="16"/>
      <c r="IRM189" s="16"/>
      <c r="IRN189" s="16"/>
      <c r="IRO189" s="16"/>
      <c r="IRP189" s="16"/>
      <c r="IRQ189" s="16"/>
      <c r="IRR189" s="16"/>
      <c r="IRS189" s="16"/>
      <c r="IRT189" s="16"/>
      <c r="IRU189" s="16"/>
      <c r="IRV189" s="16"/>
      <c r="IRW189" s="16"/>
      <c r="IRX189" s="16"/>
      <c r="IRY189" s="16"/>
      <c r="IRZ189" s="16"/>
      <c r="ISA189" s="16"/>
      <c r="ISB189" s="16"/>
      <c r="ISC189" s="16"/>
      <c r="ISD189" s="16"/>
      <c r="ISE189" s="16"/>
      <c r="ISF189" s="16"/>
      <c r="ISG189" s="16"/>
      <c r="ISH189" s="16"/>
      <c r="ISI189" s="16"/>
      <c r="ISJ189" s="16"/>
      <c r="ISK189" s="16"/>
      <c r="ISL189" s="16"/>
      <c r="ISM189" s="16"/>
      <c r="ISN189" s="16"/>
      <c r="ISO189" s="16"/>
      <c r="ISP189" s="16"/>
      <c r="ISQ189" s="16"/>
      <c r="ISR189" s="16"/>
      <c r="ISS189" s="16"/>
      <c r="IST189" s="16"/>
      <c r="ISU189" s="16"/>
      <c r="ISV189" s="16"/>
      <c r="ISW189" s="16"/>
      <c r="ISX189" s="16"/>
      <c r="ISY189" s="16"/>
      <c r="ISZ189" s="16"/>
      <c r="ITA189" s="16"/>
      <c r="ITB189" s="16"/>
      <c r="ITC189" s="16"/>
      <c r="ITD189" s="16"/>
      <c r="ITE189" s="16"/>
      <c r="ITF189" s="16"/>
      <c r="ITG189" s="16"/>
      <c r="ITH189" s="16"/>
      <c r="ITI189" s="16"/>
      <c r="ITJ189" s="16"/>
      <c r="ITK189" s="16"/>
      <c r="ITL189" s="16"/>
      <c r="ITM189" s="16"/>
      <c r="ITN189" s="16"/>
      <c r="ITO189" s="16"/>
      <c r="ITP189" s="16"/>
      <c r="ITQ189" s="16"/>
      <c r="ITR189" s="16"/>
      <c r="ITS189" s="16"/>
      <c r="ITT189" s="16"/>
      <c r="ITU189" s="16"/>
      <c r="ITV189" s="16"/>
      <c r="ITW189" s="16"/>
      <c r="ITX189" s="16"/>
      <c r="ITY189" s="16"/>
      <c r="ITZ189" s="16"/>
      <c r="IUA189" s="16"/>
      <c r="IUB189" s="16"/>
      <c r="IUC189" s="16"/>
      <c r="IUD189" s="16"/>
      <c r="IUE189" s="16"/>
      <c r="IUF189" s="16"/>
      <c r="IUG189" s="16"/>
      <c r="IUH189" s="16"/>
      <c r="IUI189" s="16"/>
      <c r="IUJ189" s="16"/>
      <c r="IUK189" s="16"/>
      <c r="IUL189" s="16"/>
      <c r="IUM189" s="16"/>
      <c r="IUN189" s="16"/>
      <c r="IUO189" s="16"/>
      <c r="IUP189" s="16"/>
      <c r="IUQ189" s="16"/>
      <c r="IUR189" s="16"/>
      <c r="IUS189" s="16"/>
      <c r="IUT189" s="16"/>
      <c r="IUU189" s="16"/>
      <c r="IUV189" s="16"/>
      <c r="IUW189" s="16"/>
      <c r="IUX189" s="16"/>
      <c r="IUY189" s="16"/>
      <c r="IUZ189" s="16"/>
      <c r="IVA189" s="16"/>
      <c r="IVB189" s="16"/>
      <c r="IVC189" s="16"/>
      <c r="IVD189" s="16"/>
      <c r="IVE189" s="16"/>
      <c r="IVF189" s="16"/>
      <c r="IVG189" s="16"/>
      <c r="IVH189" s="16"/>
      <c r="IVI189" s="16"/>
      <c r="IVJ189" s="16"/>
      <c r="IVK189" s="16"/>
      <c r="IVL189" s="16"/>
      <c r="IVM189" s="16"/>
      <c r="IVN189" s="16"/>
      <c r="IVO189" s="16"/>
      <c r="IVP189" s="16"/>
      <c r="IVQ189" s="16"/>
      <c r="IVR189" s="16"/>
      <c r="IVS189" s="16"/>
      <c r="IVT189" s="16"/>
      <c r="IVU189" s="16"/>
      <c r="IVV189" s="16"/>
      <c r="IVW189" s="16"/>
      <c r="IVX189" s="16"/>
      <c r="IVY189" s="16"/>
      <c r="IVZ189" s="16"/>
      <c r="IWA189" s="16"/>
      <c r="IWB189" s="16"/>
      <c r="IWC189" s="16"/>
      <c r="IWD189" s="16"/>
      <c r="IWE189" s="16"/>
      <c r="IWF189" s="16"/>
      <c r="IWG189" s="16"/>
      <c r="IWH189" s="16"/>
      <c r="IWI189" s="16"/>
      <c r="IWJ189" s="16"/>
      <c r="IWK189" s="16"/>
      <c r="IWL189" s="16"/>
      <c r="IWM189" s="16"/>
      <c r="IWN189" s="16"/>
      <c r="IWO189" s="16"/>
      <c r="IWP189" s="16"/>
      <c r="IWQ189" s="16"/>
      <c r="IWR189" s="16"/>
      <c r="IWS189" s="16"/>
      <c r="IWT189" s="16"/>
      <c r="IWU189" s="16"/>
      <c r="IWV189" s="16"/>
      <c r="IWW189" s="16"/>
      <c r="IWX189" s="16"/>
      <c r="IWY189" s="16"/>
      <c r="IWZ189" s="16"/>
      <c r="IXA189" s="16"/>
      <c r="IXB189" s="16"/>
      <c r="IXC189" s="16"/>
      <c r="IXD189" s="16"/>
      <c r="IXE189" s="16"/>
      <c r="IXF189" s="16"/>
      <c r="IXG189" s="16"/>
      <c r="IXH189" s="16"/>
      <c r="IXI189" s="16"/>
      <c r="IXJ189" s="16"/>
      <c r="IXK189" s="16"/>
      <c r="IXL189" s="16"/>
      <c r="IXM189" s="16"/>
      <c r="IXN189" s="16"/>
      <c r="IXO189" s="16"/>
      <c r="IXP189" s="16"/>
      <c r="IXQ189" s="16"/>
      <c r="IXR189" s="16"/>
      <c r="IXS189" s="16"/>
      <c r="IXT189" s="16"/>
      <c r="IXU189" s="16"/>
      <c r="IXV189" s="16"/>
      <c r="IXW189" s="16"/>
      <c r="IXX189" s="16"/>
      <c r="IXY189" s="16"/>
      <c r="IXZ189" s="16"/>
      <c r="IYA189" s="16"/>
      <c r="IYB189" s="16"/>
      <c r="IYC189" s="16"/>
      <c r="IYD189" s="16"/>
      <c r="IYE189" s="16"/>
      <c r="IYF189" s="16"/>
      <c r="IYG189" s="16"/>
      <c r="IYH189" s="16"/>
      <c r="IYI189" s="16"/>
      <c r="IYJ189" s="16"/>
      <c r="IYK189" s="16"/>
      <c r="IYL189" s="16"/>
      <c r="IYM189" s="16"/>
      <c r="IYN189" s="16"/>
      <c r="IYO189" s="16"/>
      <c r="IYP189" s="16"/>
      <c r="IYQ189" s="16"/>
      <c r="IYR189" s="16"/>
      <c r="IYS189" s="16"/>
      <c r="IYT189" s="16"/>
      <c r="IYU189" s="16"/>
      <c r="IYV189" s="16"/>
      <c r="IYW189" s="16"/>
      <c r="IYX189" s="16"/>
      <c r="IYY189" s="16"/>
      <c r="IYZ189" s="16"/>
      <c r="IZA189" s="16"/>
      <c r="IZB189" s="16"/>
      <c r="IZC189" s="16"/>
      <c r="IZD189" s="16"/>
      <c r="IZE189" s="16"/>
      <c r="IZF189" s="16"/>
      <c r="IZG189" s="16"/>
      <c r="IZH189" s="16"/>
      <c r="IZI189" s="16"/>
      <c r="IZJ189" s="16"/>
      <c r="IZK189" s="16"/>
      <c r="IZL189" s="16"/>
      <c r="IZM189" s="16"/>
      <c r="IZN189" s="16"/>
      <c r="IZO189" s="16"/>
      <c r="IZP189" s="16"/>
      <c r="IZQ189" s="16"/>
      <c r="IZR189" s="16"/>
      <c r="IZS189" s="16"/>
      <c r="IZT189" s="16"/>
      <c r="IZU189" s="16"/>
      <c r="IZV189" s="16"/>
      <c r="IZW189" s="16"/>
      <c r="IZX189" s="16"/>
      <c r="IZY189" s="16"/>
      <c r="IZZ189" s="16"/>
      <c r="JAA189" s="16"/>
      <c r="JAB189" s="16"/>
      <c r="JAC189" s="16"/>
      <c r="JAD189" s="16"/>
      <c r="JAE189" s="16"/>
      <c r="JAF189" s="16"/>
      <c r="JAG189" s="16"/>
      <c r="JAH189" s="16"/>
      <c r="JAI189" s="16"/>
      <c r="JAJ189" s="16"/>
      <c r="JAK189" s="16"/>
      <c r="JAL189" s="16"/>
      <c r="JAM189" s="16"/>
      <c r="JAN189" s="16"/>
      <c r="JAO189" s="16"/>
      <c r="JAP189" s="16"/>
      <c r="JAQ189" s="16"/>
      <c r="JAR189" s="16"/>
      <c r="JAS189" s="16"/>
      <c r="JAT189" s="16"/>
      <c r="JAU189" s="16"/>
      <c r="JAV189" s="16"/>
      <c r="JAW189" s="16"/>
      <c r="JAX189" s="16"/>
      <c r="JAY189" s="16"/>
      <c r="JAZ189" s="16"/>
      <c r="JBA189" s="16"/>
      <c r="JBB189" s="16"/>
      <c r="JBC189" s="16"/>
      <c r="JBD189" s="16"/>
      <c r="JBE189" s="16"/>
      <c r="JBF189" s="16"/>
      <c r="JBG189" s="16"/>
      <c r="JBH189" s="16"/>
      <c r="JBI189" s="16"/>
      <c r="JBJ189" s="16"/>
      <c r="JBK189" s="16"/>
      <c r="JBL189" s="16"/>
      <c r="JBM189" s="16"/>
      <c r="JBN189" s="16"/>
      <c r="JBO189" s="16"/>
      <c r="JBP189" s="16"/>
      <c r="JBQ189" s="16"/>
      <c r="JBR189" s="16"/>
      <c r="JBS189" s="16"/>
      <c r="JBT189" s="16"/>
      <c r="JBU189" s="16"/>
      <c r="JBV189" s="16"/>
      <c r="JBW189" s="16"/>
      <c r="JBX189" s="16"/>
      <c r="JBY189" s="16"/>
      <c r="JBZ189" s="16"/>
      <c r="JCA189" s="16"/>
      <c r="JCB189" s="16"/>
      <c r="JCC189" s="16"/>
      <c r="JCD189" s="16"/>
      <c r="JCE189" s="16"/>
      <c r="JCF189" s="16"/>
      <c r="JCG189" s="16"/>
      <c r="JCH189" s="16"/>
      <c r="JCI189" s="16"/>
      <c r="JCJ189" s="16"/>
      <c r="JCK189" s="16"/>
      <c r="JCL189" s="16"/>
      <c r="JCM189" s="16"/>
      <c r="JCN189" s="16"/>
      <c r="JCO189" s="16"/>
      <c r="JCP189" s="16"/>
      <c r="JCQ189" s="16"/>
      <c r="JCR189" s="16"/>
      <c r="JCS189" s="16"/>
      <c r="JCT189" s="16"/>
      <c r="JCU189" s="16"/>
      <c r="JCV189" s="16"/>
      <c r="JCW189" s="16"/>
      <c r="JCX189" s="16"/>
      <c r="JCY189" s="16"/>
      <c r="JCZ189" s="16"/>
      <c r="JDA189" s="16"/>
      <c r="JDB189" s="16"/>
      <c r="JDC189" s="16"/>
      <c r="JDD189" s="16"/>
      <c r="JDE189" s="16"/>
      <c r="JDF189" s="16"/>
      <c r="JDG189" s="16"/>
      <c r="JDH189" s="16"/>
      <c r="JDI189" s="16"/>
      <c r="JDJ189" s="16"/>
      <c r="JDK189" s="16"/>
      <c r="JDL189" s="16"/>
      <c r="JDM189" s="16"/>
      <c r="JDN189" s="16"/>
      <c r="JDO189" s="16"/>
      <c r="JDP189" s="16"/>
      <c r="JDQ189" s="16"/>
      <c r="JDR189" s="16"/>
      <c r="JDS189" s="16"/>
      <c r="JDT189" s="16"/>
      <c r="JDU189" s="16"/>
      <c r="JDV189" s="16"/>
      <c r="JDW189" s="16"/>
      <c r="JDX189" s="16"/>
      <c r="JDY189" s="16"/>
      <c r="JDZ189" s="16"/>
      <c r="JEA189" s="16"/>
      <c r="JEB189" s="16"/>
      <c r="JEC189" s="16"/>
      <c r="JED189" s="16"/>
      <c r="JEE189" s="16"/>
      <c r="JEF189" s="16"/>
      <c r="JEG189" s="16"/>
      <c r="JEH189" s="16"/>
      <c r="JEI189" s="16"/>
      <c r="JEJ189" s="16"/>
      <c r="JEK189" s="16"/>
      <c r="JEL189" s="16"/>
      <c r="JEM189" s="16"/>
      <c r="JEN189" s="16"/>
      <c r="JEO189" s="16"/>
      <c r="JEP189" s="16"/>
      <c r="JEQ189" s="16"/>
      <c r="JER189" s="16"/>
      <c r="JES189" s="16"/>
      <c r="JET189" s="16"/>
      <c r="JEU189" s="16"/>
      <c r="JEV189" s="16"/>
      <c r="JEW189" s="16"/>
      <c r="JEX189" s="16"/>
      <c r="JEY189" s="16"/>
      <c r="JEZ189" s="16"/>
      <c r="JFA189" s="16"/>
      <c r="JFB189" s="16"/>
      <c r="JFC189" s="16"/>
      <c r="JFD189" s="16"/>
      <c r="JFE189" s="16"/>
      <c r="JFF189" s="16"/>
      <c r="JFG189" s="16"/>
      <c r="JFH189" s="16"/>
      <c r="JFI189" s="16"/>
      <c r="JFJ189" s="16"/>
      <c r="JFK189" s="16"/>
      <c r="JFL189" s="16"/>
      <c r="JFM189" s="16"/>
      <c r="JFN189" s="16"/>
      <c r="JFO189" s="16"/>
      <c r="JFP189" s="16"/>
      <c r="JFQ189" s="16"/>
      <c r="JFR189" s="16"/>
      <c r="JFS189" s="16"/>
      <c r="JFT189" s="16"/>
      <c r="JFU189" s="16"/>
      <c r="JFV189" s="16"/>
      <c r="JFW189" s="16"/>
      <c r="JFX189" s="16"/>
      <c r="JFY189" s="16"/>
      <c r="JFZ189" s="16"/>
      <c r="JGA189" s="16"/>
      <c r="JGB189" s="16"/>
      <c r="JGC189" s="16"/>
      <c r="JGD189" s="16"/>
      <c r="JGE189" s="16"/>
      <c r="JGF189" s="16"/>
      <c r="JGG189" s="16"/>
      <c r="JGH189" s="16"/>
      <c r="JGI189" s="16"/>
      <c r="JGJ189" s="16"/>
      <c r="JGK189" s="16"/>
      <c r="JGL189" s="16"/>
      <c r="JGM189" s="16"/>
      <c r="JGN189" s="16"/>
      <c r="JGO189" s="16"/>
      <c r="JGP189" s="16"/>
      <c r="JGQ189" s="16"/>
      <c r="JGR189" s="16"/>
      <c r="JGS189" s="16"/>
      <c r="JGT189" s="16"/>
      <c r="JGU189" s="16"/>
      <c r="JGV189" s="16"/>
      <c r="JGW189" s="16"/>
      <c r="JGX189" s="16"/>
      <c r="JGY189" s="16"/>
      <c r="JGZ189" s="16"/>
      <c r="JHA189" s="16"/>
      <c r="JHB189" s="16"/>
      <c r="JHC189" s="16"/>
      <c r="JHD189" s="16"/>
      <c r="JHE189" s="16"/>
      <c r="JHF189" s="16"/>
      <c r="JHG189" s="16"/>
      <c r="JHH189" s="16"/>
      <c r="JHI189" s="16"/>
      <c r="JHJ189" s="16"/>
      <c r="JHK189" s="16"/>
      <c r="JHL189" s="16"/>
      <c r="JHM189" s="16"/>
      <c r="JHN189" s="16"/>
      <c r="JHO189" s="16"/>
      <c r="JHP189" s="16"/>
      <c r="JHQ189" s="16"/>
      <c r="JHR189" s="16"/>
      <c r="JHS189" s="16"/>
      <c r="JHT189" s="16"/>
      <c r="JHU189" s="16"/>
      <c r="JHV189" s="16"/>
      <c r="JHW189" s="16"/>
      <c r="JHX189" s="16"/>
      <c r="JHY189" s="16"/>
      <c r="JHZ189" s="16"/>
      <c r="JIA189" s="16"/>
      <c r="JIB189" s="16"/>
      <c r="JIC189" s="16"/>
      <c r="JID189" s="16"/>
      <c r="JIE189" s="16"/>
      <c r="JIF189" s="16"/>
      <c r="JIG189" s="16"/>
      <c r="JIH189" s="16"/>
      <c r="JII189" s="16"/>
      <c r="JIJ189" s="16"/>
      <c r="JIK189" s="16"/>
      <c r="JIL189" s="16"/>
      <c r="JIM189" s="16"/>
      <c r="JIN189" s="16"/>
      <c r="JIO189" s="16"/>
      <c r="JIP189" s="16"/>
      <c r="JIQ189" s="16"/>
      <c r="JIR189" s="16"/>
      <c r="JIS189" s="16"/>
      <c r="JIT189" s="16"/>
      <c r="JIU189" s="16"/>
      <c r="JIV189" s="16"/>
      <c r="JIW189" s="16"/>
      <c r="JIX189" s="16"/>
      <c r="JIY189" s="16"/>
      <c r="JIZ189" s="16"/>
      <c r="JJA189" s="16"/>
      <c r="JJB189" s="16"/>
      <c r="JJC189" s="16"/>
      <c r="JJD189" s="16"/>
      <c r="JJE189" s="16"/>
      <c r="JJF189" s="16"/>
      <c r="JJG189" s="16"/>
      <c r="JJH189" s="16"/>
      <c r="JJI189" s="16"/>
      <c r="JJJ189" s="16"/>
      <c r="JJK189" s="16"/>
      <c r="JJL189" s="16"/>
      <c r="JJM189" s="16"/>
      <c r="JJN189" s="16"/>
      <c r="JJO189" s="16"/>
      <c r="JJP189" s="16"/>
      <c r="JJQ189" s="16"/>
      <c r="JJR189" s="16"/>
      <c r="JJS189" s="16"/>
      <c r="JJT189" s="16"/>
      <c r="JJU189" s="16"/>
      <c r="JJV189" s="16"/>
      <c r="JJW189" s="16"/>
      <c r="JJX189" s="16"/>
      <c r="JJY189" s="16"/>
      <c r="JJZ189" s="16"/>
      <c r="JKA189" s="16"/>
      <c r="JKB189" s="16"/>
      <c r="JKC189" s="16"/>
      <c r="JKD189" s="16"/>
      <c r="JKE189" s="16"/>
      <c r="JKF189" s="16"/>
      <c r="JKG189" s="16"/>
      <c r="JKH189" s="16"/>
      <c r="JKI189" s="16"/>
      <c r="JKJ189" s="16"/>
      <c r="JKK189" s="16"/>
      <c r="JKL189" s="16"/>
      <c r="JKM189" s="16"/>
      <c r="JKN189" s="16"/>
      <c r="JKO189" s="16"/>
      <c r="JKP189" s="16"/>
      <c r="JKQ189" s="16"/>
      <c r="JKR189" s="16"/>
      <c r="JKS189" s="16"/>
      <c r="JKT189" s="16"/>
      <c r="JKU189" s="16"/>
      <c r="JKV189" s="16"/>
      <c r="JKW189" s="16"/>
      <c r="JKX189" s="16"/>
      <c r="JKY189" s="16"/>
      <c r="JKZ189" s="16"/>
      <c r="JLA189" s="16"/>
      <c r="JLB189" s="16"/>
      <c r="JLC189" s="16"/>
      <c r="JLD189" s="16"/>
      <c r="JLE189" s="16"/>
      <c r="JLF189" s="16"/>
      <c r="JLG189" s="16"/>
      <c r="JLH189" s="16"/>
      <c r="JLI189" s="16"/>
      <c r="JLJ189" s="16"/>
      <c r="JLK189" s="16"/>
      <c r="JLL189" s="16"/>
      <c r="JLM189" s="16"/>
      <c r="JLN189" s="16"/>
      <c r="JLO189" s="16"/>
      <c r="JLP189" s="16"/>
      <c r="JLQ189" s="16"/>
      <c r="JLR189" s="16"/>
      <c r="JLS189" s="16"/>
      <c r="JLT189" s="16"/>
      <c r="JLU189" s="16"/>
      <c r="JLV189" s="16"/>
      <c r="JLW189" s="16"/>
      <c r="JLX189" s="16"/>
      <c r="JLY189" s="16"/>
      <c r="JLZ189" s="16"/>
      <c r="JMA189" s="16"/>
      <c r="JMB189" s="16"/>
      <c r="JMC189" s="16"/>
      <c r="JMD189" s="16"/>
      <c r="JME189" s="16"/>
      <c r="JMF189" s="16"/>
      <c r="JMG189" s="16"/>
      <c r="JMH189" s="16"/>
      <c r="JMI189" s="16"/>
      <c r="JMJ189" s="16"/>
      <c r="JMK189" s="16"/>
      <c r="JML189" s="16"/>
      <c r="JMM189" s="16"/>
      <c r="JMN189" s="16"/>
      <c r="JMO189" s="16"/>
      <c r="JMP189" s="16"/>
      <c r="JMQ189" s="16"/>
      <c r="JMR189" s="16"/>
      <c r="JMS189" s="16"/>
      <c r="JMT189" s="16"/>
      <c r="JMU189" s="16"/>
      <c r="JMV189" s="16"/>
      <c r="JMW189" s="16"/>
      <c r="JMX189" s="16"/>
      <c r="JMY189" s="16"/>
      <c r="JMZ189" s="16"/>
      <c r="JNA189" s="16"/>
      <c r="JNB189" s="16"/>
      <c r="JNC189" s="16"/>
      <c r="JND189" s="16"/>
      <c r="JNE189" s="16"/>
      <c r="JNF189" s="16"/>
      <c r="JNG189" s="16"/>
      <c r="JNH189" s="16"/>
      <c r="JNI189" s="16"/>
      <c r="JNJ189" s="16"/>
      <c r="JNK189" s="16"/>
      <c r="JNL189" s="16"/>
      <c r="JNM189" s="16"/>
      <c r="JNN189" s="16"/>
      <c r="JNO189" s="16"/>
      <c r="JNP189" s="16"/>
      <c r="JNQ189" s="16"/>
      <c r="JNR189" s="16"/>
      <c r="JNS189" s="16"/>
      <c r="JNT189" s="16"/>
      <c r="JNU189" s="16"/>
      <c r="JNV189" s="16"/>
      <c r="JNW189" s="16"/>
      <c r="JNX189" s="16"/>
      <c r="JNY189" s="16"/>
      <c r="JNZ189" s="16"/>
      <c r="JOA189" s="16"/>
      <c r="JOB189" s="16"/>
      <c r="JOC189" s="16"/>
      <c r="JOD189" s="16"/>
      <c r="JOE189" s="16"/>
      <c r="JOF189" s="16"/>
      <c r="JOG189" s="16"/>
      <c r="JOH189" s="16"/>
      <c r="JOI189" s="16"/>
      <c r="JOJ189" s="16"/>
      <c r="JOK189" s="16"/>
      <c r="JOL189" s="16"/>
      <c r="JOM189" s="16"/>
      <c r="JON189" s="16"/>
      <c r="JOO189" s="16"/>
      <c r="JOP189" s="16"/>
      <c r="JOQ189" s="16"/>
      <c r="JOR189" s="16"/>
      <c r="JOS189" s="16"/>
      <c r="JOT189" s="16"/>
      <c r="JOU189" s="16"/>
      <c r="JOV189" s="16"/>
      <c r="JOW189" s="16"/>
      <c r="JOX189" s="16"/>
      <c r="JOY189" s="16"/>
      <c r="JOZ189" s="16"/>
      <c r="JPA189" s="16"/>
      <c r="JPB189" s="16"/>
      <c r="JPC189" s="16"/>
      <c r="JPD189" s="16"/>
      <c r="JPE189" s="16"/>
      <c r="JPF189" s="16"/>
      <c r="JPG189" s="16"/>
      <c r="JPH189" s="16"/>
      <c r="JPI189" s="16"/>
      <c r="JPJ189" s="16"/>
      <c r="JPK189" s="16"/>
      <c r="JPL189" s="16"/>
      <c r="JPM189" s="16"/>
      <c r="JPN189" s="16"/>
      <c r="JPO189" s="16"/>
      <c r="JPP189" s="16"/>
      <c r="JPQ189" s="16"/>
      <c r="JPR189" s="16"/>
      <c r="JPS189" s="16"/>
      <c r="JPT189" s="16"/>
      <c r="JPU189" s="16"/>
      <c r="JPV189" s="16"/>
      <c r="JPW189" s="16"/>
      <c r="JPX189" s="16"/>
      <c r="JPY189" s="16"/>
      <c r="JPZ189" s="16"/>
      <c r="JQA189" s="16"/>
      <c r="JQB189" s="16"/>
      <c r="JQC189" s="16"/>
      <c r="JQD189" s="16"/>
      <c r="JQE189" s="16"/>
      <c r="JQF189" s="16"/>
      <c r="JQG189" s="16"/>
      <c r="JQH189" s="16"/>
      <c r="JQI189" s="16"/>
      <c r="JQJ189" s="16"/>
      <c r="JQK189" s="16"/>
      <c r="JQL189" s="16"/>
      <c r="JQM189" s="16"/>
      <c r="JQN189" s="16"/>
      <c r="JQO189" s="16"/>
      <c r="JQP189" s="16"/>
      <c r="JQQ189" s="16"/>
      <c r="JQR189" s="16"/>
      <c r="JQS189" s="16"/>
      <c r="JQT189" s="16"/>
      <c r="JQU189" s="16"/>
      <c r="JQV189" s="16"/>
      <c r="JQW189" s="16"/>
      <c r="JQX189" s="16"/>
      <c r="JQY189" s="16"/>
      <c r="JQZ189" s="16"/>
      <c r="JRA189" s="16"/>
      <c r="JRB189" s="16"/>
      <c r="JRC189" s="16"/>
      <c r="JRD189" s="16"/>
      <c r="JRE189" s="16"/>
      <c r="JRF189" s="16"/>
      <c r="JRG189" s="16"/>
      <c r="JRH189" s="16"/>
      <c r="JRI189" s="16"/>
      <c r="JRJ189" s="16"/>
      <c r="JRK189" s="16"/>
      <c r="JRL189" s="16"/>
      <c r="JRM189" s="16"/>
      <c r="JRN189" s="16"/>
      <c r="JRO189" s="16"/>
      <c r="JRP189" s="16"/>
      <c r="JRQ189" s="16"/>
      <c r="JRR189" s="16"/>
      <c r="JRS189" s="16"/>
      <c r="JRT189" s="16"/>
      <c r="JRU189" s="16"/>
      <c r="JRV189" s="16"/>
      <c r="JRW189" s="16"/>
      <c r="JRX189" s="16"/>
      <c r="JRY189" s="16"/>
      <c r="JRZ189" s="16"/>
      <c r="JSA189" s="16"/>
      <c r="JSB189" s="16"/>
      <c r="JSC189" s="16"/>
      <c r="JSD189" s="16"/>
      <c r="JSE189" s="16"/>
      <c r="JSF189" s="16"/>
      <c r="JSG189" s="16"/>
      <c r="JSH189" s="16"/>
      <c r="JSI189" s="16"/>
      <c r="JSJ189" s="16"/>
      <c r="JSK189" s="16"/>
      <c r="JSL189" s="16"/>
      <c r="JSM189" s="16"/>
      <c r="JSN189" s="16"/>
      <c r="JSO189" s="16"/>
      <c r="JSP189" s="16"/>
      <c r="JSQ189" s="16"/>
      <c r="JSR189" s="16"/>
      <c r="JSS189" s="16"/>
      <c r="JST189" s="16"/>
      <c r="JSU189" s="16"/>
      <c r="JSV189" s="16"/>
      <c r="JSW189" s="16"/>
      <c r="JSX189" s="16"/>
      <c r="JSY189" s="16"/>
      <c r="JSZ189" s="16"/>
      <c r="JTA189" s="16"/>
      <c r="JTB189" s="16"/>
      <c r="JTC189" s="16"/>
      <c r="JTD189" s="16"/>
      <c r="JTE189" s="16"/>
      <c r="JTF189" s="16"/>
      <c r="JTG189" s="16"/>
      <c r="JTH189" s="16"/>
      <c r="JTI189" s="16"/>
      <c r="JTJ189" s="16"/>
      <c r="JTK189" s="16"/>
      <c r="JTL189" s="16"/>
      <c r="JTM189" s="16"/>
      <c r="JTN189" s="16"/>
      <c r="JTO189" s="16"/>
      <c r="JTP189" s="16"/>
      <c r="JTQ189" s="16"/>
      <c r="JTR189" s="16"/>
      <c r="JTS189" s="16"/>
      <c r="JTT189" s="16"/>
      <c r="JTU189" s="16"/>
      <c r="JTV189" s="16"/>
      <c r="JTW189" s="16"/>
      <c r="JTX189" s="16"/>
      <c r="JTY189" s="16"/>
      <c r="JTZ189" s="16"/>
      <c r="JUA189" s="16"/>
      <c r="JUB189" s="16"/>
      <c r="JUC189" s="16"/>
      <c r="JUD189" s="16"/>
      <c r="JUE189" s="16"/>
      <c r="JUF189" s="16"/>
      <c r="JUG189" s="16"/>
      <c r="JUH189" s="16"/>
      <c r="JUI189" s="16"/>
      <c r="JUJ189" s="16"/>
      <c r="JUK189" s="16"/>
      <c r="JUL189" s="16"/>
      <c r="JUM189" s="16"/>
      <c r="JUN189" s="16"/>
      <c r="JUO189" s="16"/>
      <c r="JUP189" s="16"/>
      <c r="JUQ189" s="16"/>
      <c r="JUR189" s="16"/>
      <c r="JUS189" s="16"/>
      <c r="JUT189" s="16"/>
      <c r="JUU189" s="16"/>
      <c r="JUV189" s="16"/>
      <c r="JUW189" s="16"/>
      <c r="JUX189" s="16"/>
      <c r="JUY189" s="16"/>
      <c r="JUZ189" s="16"/>
      <c r="JVA189" s="16"/>
      <c r="JVB189" s="16"/>
      <c r="JVC189" s="16"/>
      <c r="JVD189" s="16"/>
      <c r="JVE189" s="16"/>
      <c r="JVF189" s="16"/>
      <c r="JVG189" s="16"/>
      <c r="JVH189" s="16"/>
      <c r="JVI189" s="16"/>
      <c r="JVJ189" s="16"/>
      <c r="JVK189" s="16"/>
      <c r="JVL189" s="16"/>
      <c r="JVM189" s="16"/>
      <c r="JVN189" s="16"/>
      <c r="JVO189" s="16"/>
      <c r="JVP189" s="16"/>
      <c r="JVQ189" s="16"/>
      <c r="JVR189" s="16"/>
      <c r="JVS189" s="16"/>
      <c r="JVT189" s="16"/>
      <c r="JVU189" s="16"/>
      <c r="JVV189" s="16"/>
      <c r="JVW189" s="16"/>
      <c r="JVX189" s="16"/>
      <c r="JVY189" s="16"/>
      <c r="JVZ189" s="16"/>
      <c r="JWA189" s="16"/>
      <c r="JWB189" s="16"/>
      <c r="JWC189" s="16"/>
      <c r="JWD189" s="16"/>
      <c r="JWE189" s="16"/>
      <c r="JWF189" s="16"/>
      <c r="JWG189" s="16"/>
      <c r="JWH189" s="16"/>
      <c r="JWI189" s="16"/>
      <c r="JWJ189" s="16"/>
      <c r="JWK189" s="16"/>
      <c r="JWL189" s="16"/>
      <c r="JWM189" s="16"/>
      <c r="JWN189" s="16"/>
      <c r="JWO189" s="16"/>
      <c r="JWP189" s="16"/>
      <c r="JWQ189" s="16"/>
      <c r="JWR189" s="16"/>
      <c r="JWS189" s="16"/>
      <c r="JWT189" s="16"/>
      <c r="JWU189" s="16"/>
      <c r="JWV189" s="16"/>
      <c r="JWW189" s="16"/>
      <c r="JWX189" s="16"/>
      <c r="JWY189" s="16"/>
      <c r="JWZ189" s="16"/>
      <c r="JXA189" s="16"/>
      <c r="JXB189" s="16"/>
      <c r="JXC189" s="16"/>
      <c r="JXD189" s="16"/>
      <c r="JXE189" s="16"/>
      <c r="JXF189" s="16"/>
      <c r="JXG189" s="16"/>
      <c r="JXH189" s="16"/>
      <c r="JXI189" s="16"/>
      <c r="JXJ189" s="16"/>
      <c r="JXK189" s="16"/>
      <c r="JXL189" s="16"/>
      <c r="JXM189" s="16"/>
      <c r="JXN189" s="16"/>
      <c r="JXO189" s="16"/>
      <c r="JXP189" s="16"/>
      <c r="JXQ189" s="16"/>
      <c r="JXR189" s="16"/>
      <c r="JXS189" s="16"/>
      <c r="JXT189" s="16"/>
      <c r="JXU189" s="16"/>
      <c r="JXV189" s="16"/>
      <c r="JXW189" s="16"/>
      <c r="JXX189" s="16"/>
      <c r="JXY189" s="16"/>
      <c r="JXZ189" s="16"/>
      <c r="JYA189" s="16"/>
      <c r="JYB189" s="16"/>
      <c r="JYC189" s="16"/>
      <c r="JYD189" s="16"/>
      <c r="JYE189" s="16"/>
      <c r="JYF189" s="16"/>
      <c r="JYG189" s="16"/>
      <c r="JYH189" s="16"/>
      <c r="JYI189" s="16"/>
      <c r="JYJ189" s="16"/>
      <c r="JYK189" s="16"/>
      <c r="JYL189" s="16"/>
      <c r="JYM189" s="16"/>
      <c r="JYN189" s="16"/>
      <c r="JYO189" s="16"/>
      <c r="JYP189" s="16"/>
      <c r="JYQ189" s="16"/>
      <c r="JYR189" s="16"/>
      <c r="JYS189" s="16"/>
      <c r="JYT189" s="16"/>
      <c r="JYU189" s="16"/>
      <c r="JYV189" s="16"/>
      <c r="JYW189" s="16"/>
      <c r="JYX189" s="16"/>
      <c r="JYY189" s="16"/>
      <c r="JYZ189" s="16"/>
      <c r="JZA189" s="16"/>
      <c r="JZB189" s="16"/>
      <c r="JZC189" s="16"/>
      <c r="JZD189" s="16"/>
      <c r="JZE189" s="16"/>
      <c r="JZF189" s="16"/>
      <c r="JZG189" s="16"/>
      <c r="JZH189" s="16"/>
      <c r="JZI189" s="16"/>
      <c r="JZJ189" s="16"/>
      <c r="JZK189" s="16"/>
      <c r="JZL189" s="16"/>
      <c r="JZM189" s="16"/>
      <c r="JZN189" s="16"/>
      <c r="JZO189" s="16"/>
      <c r="JZP189" s="16"/>
      <c r="JZQ189" s="16"/>
      <c r="JZR189" s="16"/>
      <c r="JZS189" s="16"/>
      <c r="JZT189" s="16"/>
      <c r="JZU189" s="16"/>
      <c r="JZV189" s="16"/>
      <c r="JZW189" s="16"/>
      <c r="JZX189" s="16"/>
      <c r="JZY189" s="16"/>
      <c r="JZZ189" s="16"/>
      <c r="KAA189" s="16"/>
      <c r="KAB189" s="16"/>
      <c r="KAC189" s="16"/>
      <c r="KAD189" s="16"/>
      <c r="KAE189" s="16"/>
      <c r="KAF189" s="16"/>
      <c r="KAG189" s="16"/>
      <c r="KAH189" s="16"/>
      <c r="KAI189" s="16"/>
      <c r="KAJ189" s="16"/>
      <c r="KAK189" s="16"/>
      <c r="KAL189" s="16"/>
      <c r="KAM189" s="16"/>
      <c r="KAN189" s="16"/>
      <c r="KAO189" s="16"/>
      <c r="KAP189" s="16"/>
      <c r="KAQ189" s="16"/>
      <c r="KAR189" s="16"/>
      <c r="KAS189" s="16"/>
      <c r="KAT189" s="16"/>
      <c r="KAU189" s="16"/>
      <c r="KAV189" s="16"/>
      <c r="KAW189" s="16"/>
      <c r="KAX189" s="16"/>
      <c r="KAY189" s="16"/>
      <c r="KAZ189" s="16"/>
      <c r="KBA189" s="16"/>
      <c r="KBB189" s="16"/>
      <c r="KBC189" s="16"/>
      <c r="KBD189" s="16"/>
      <c r="KBE189" s="16"/>
      <c r="KBF189" s="16"/>
      <c r="KBG189" s="16"/>
      <c r="KBH189" s="16"/>
      <c r="KBI189" s="16"/>
      <c r="KBJ189" s="16"/>
      <c r="KBK189" s="16"/>
      <c r="KBL189" s="16"/>
      <c r="KBM189" s="16"/>
      <c r="KBN189" s="16"/>
      <c r="KBO189" s="16"/>
      <c r="KBP189" s="16"/>
      <c r="KBQ189" s="16"/>
      <c r="KBR189" s="16"/>
      <c r="KBS189" s="16"/>
      <c r="KBT189" s="16"/>
      <c r="KBU189" s="16"/>
      <c r="KBV189" s="16"/>
      <c r="KBW189" s="16"/>
      <c r="KBX189" s="16"/>
      <c r="KBY189" s="16"/>
      <c r="KBZ189" s="16"/>
      <c r="KCA189" s="16"/>
      <c r="KCB189" s="16"/>
      <c r="KCC189" s="16"/>
      <c r="KCD189" s="16"/>
      <c r="KCE189" s="16"/>
      <c r="KCF189" s="16"/>
      <c r="KCG189" s="16"/>
      <c r="KCH189" s="16"/>
      <c r="KCI189" s="16"/>
      <c r="KCJ189" s="16"/>
      <c r="KCK189" s="16"/>
      <c r="KCL189" s="16"/>
      <c r="KCM189" s="16"/>
      <c r="KCN189" s="16"/>
      <c r="KCO189" s="16"/>
      <c r="KCP189" s="16"/>
      <c r="KCQ189" s="16"/>
      <c r="KCR189" s="16"/>
      <c r="KCS189" s="16"/>
      <c r="KCT189" s="16"/>
      <c r="KCU189" s="16"/>
      <c r="KCV189" s="16"/>
      <c r="KCW189" s="16"/>
      <c r="KCX189" s="16"/>
      <c r="KCY189" s="16"/>
      <c r="KCZ189" s="16"/>
      <c r="KDA189" s="16"/>
      <c r="KDB189" s="16"/>
      <c r="KDC189" s="16"/>
      <c r="KDD189" s="16"/>
      <c r="KDE189" s="16"/>
      <c r="KDF189" s="16"/>
      <c r="KDG189" s="16"/>
      <c r="KDH189" s="16"/>
      <c r="KDI189" s="16"/>
      <c r="KDJ189" s="16"/>
      <c r="KDK189" s="16"/>
      <c r="KDL189" s="16"/>
      <c r="KDM189" s="16"/>
      <c r="KDN189" s="16"/>
      <c r="KDO189" s="16"/>
      <c r="KDP189" s="16"/>
      <c r="KDQ189" s="16"/>
      <c r="KDR189" s="16"/>
      <c r="KDS189" s="16"/>
      <c r="KDT189" s="16"/>
      <c r="KDU189" s="16"/>
      <c r="KDV189" s="16"/>
      <c r="KDW189" s="16"/>
      <c r="KDX189" s="16"/>
      <c r="KDY189" s="16"/>
      <c r="KDZ189" s="16"/>
      <c r="KEA189" s="16"/>
      <c r="KEB189" s="16"/>
      <c r="KEC189" s="16"/>
      <c r="KED189" s="16"/>
      <c r="KEE189" s="16"/>
      <c r="KEF189" s="16"/>
      <c r="KEG189" s="16"/>
      <c r="KEH189" s="16"/>
      <c r="KEI189" s="16"/>
      <c r="KEJ189" s="16"/>
      <c r="KEK189" s="16"/>
      <c r="KEL189" s="16"/>
      <c r="KEM189" s="16"/>
      <c r="KEN189" s="16"/>
      <c r="KEO189" s="16"/>
      <c r="KEP189" s="16"/>
      <c r="KEQ189" s="16"/>
      <c r="KER189" s="16"/>
      <c r="KES189" s="16"/>
      <c r="KET189" s="16"/>
      <c r="KEU189" s="16"/>
      <c r="KEV189" s="16"/>
      <c r="KEW189" s="16"/>
      <c r="KEX189" s="16"/>
      <c r="KEY189" s="16"/>
      <c r="KEZ189" s="16"/>
      <c r="KFA189" s="16"/>
      <c r="KFB189" s="16"/>
      <c r="KFC189" s="16"/>
      <c r="KFD189" s="16"/>
      <c r="KFE189" s="16"/>
      <c r="KFF189" s="16"/>
      <c r="KFG189" s="16"/>
      <c r="KFH189" s="16"/>
      <c r="KFI189" s="16"/>
      <c r="KFJ189" s="16"/>
      <c r="KFK189" s="16"/>
      <c r="KFL189" s="16"/>
      <c r="KFM189" s="16"/>
      <c r="KFN189" s="16"/>
      <c r="KFO189" s="16"/>
      <c r="KFP189" s="16"/>
      <c r="KFQ189" s="16"/>
      <c r="KFR189" s="16"/>
      <c r="KFS189" s="16"/>
      <c r="KFT189" s="16"/>
      <c r="KFU189" s="16"/>
      <c r="KFV189" s="16"/>
      <c r="KFW189" s="16"/>
      <c r="KFX189" s="16"/>
      <c r="KFY189" s="16"/>
      <c r="KFZ189" s="16"/>
      <c r="KGA189" s="16"/>
      <c r="KGB189" s="16"/>
      <c r="KGC189" s="16"/>
      <c r="KGD189" s="16"/>
      <c r="KGE189" s="16"/>
      <c r="KGF189" s="16"/>
      <c r="KGG189" s="16"/>
      <c r="KGH189" s="16"/>
      <c r="KGI189" s="16"/>
      <c r="KGJ189" s="16"/>
      <c r="KGK189" s="16"/>
      <c r="KGL189" s="16"/>
      <c r="KGM189" s="16"/>
      <c r="KGN189" s="16"/>
      <c r="KGO189" s="16"/>
      <c r="KGP189" s="16"/>
      <c r="KGQ189" s="16"/>
      <c r="KGR189" s="16"/>
      <c r="KGS189" s="16"/>
      <c r="KGT189" s="16"/>
      <c r="KGU189" s="16"/>
      <c r="KGV189" s="16"/>
      <c r="KGW189" s="16"/>
      <c r="KGX189" s="16"/>
      <c r="KGY189" s="16"/>
      <c r="KGZ189" s="16"/>
      <c r="KHA189" s="16"/>
      <c r="KHB189" s="16"/>
      <c r="KHC189" s="16"/>
      <c r="KHD189" s="16"/>
      <c r="KHE189" s="16"/>
      <c r="KHF189" s="16"/>
      <c r="KHG189" s="16"/>
      <c r="KHH189" s="16"/>
      <c r="KHI189" s="16"/>
      <c r="KHJ189" s="16"/>
      <c r="KHK189" s="16"/>
      <c r="KHL189" s="16"/>
      <c r="KHM189" s="16"/>
      <c r="KHN189" s="16"/>
      <c r="KHO189" s="16"/>
      <c r="KHP189" s="16"/>
      <c r="KHQ189" s="16"/>
      <c r="KHR189" s="16"/>
      <c r="KHS189" s="16"/>
      <c r="KHT189" s="16"/>
      <c r="KHU189" s="16"/>
      <c r="KHV189" s="16"/>
      <c r="KHW189" s="16"/>
      <c r="KHX189" s="16"/>
      <c r="KHY189" s="16"/>
      <c r="KHZ189" s="16"/>
      <c r="KIA189" s="16"/>
      <c r="KIB189" s="16"/>
      <c r="KIC189" s="16"/>
      <c r="KID189" s="16"/>
      <c r="KIE189" s="16"/>
      <c r="KIF189" s="16"/>
      <c r="KIG189" s="16"/>
      <c r="KIH189" s="16"/>
      <c r="KII189" s="16"/>
      <c r="KIJ189" s="16"/>
      <c r="KIK189" s="16"/>
      <c r="KIL189" s="16"/>
      <c r="KIM189" s="16"/>
      <c r="KIN189" s="16"/>
      <c r="KIO189" s="16"/>
      <c r="KIP189" s="16"/>
      <c r="KIQ189" s="16"/>
      <c r="KIR189" s="16"/>
      <c r="KIS189" s="16"/>
      <c r="KIT189" s="16"/>
      <c r="KIU189" s="16"/>
      <c r="KIV189" s="16"/>
      <c r="KIW189" s="16"/>
      <c r="KIX189" s="16"/>
      <c r="KIY189" s="16"/>
      <c r="KIZ189" s="16"/>
      <c r="KJA189" s="16"/>
      <c r="KJB189" s="16"/>
      <c r="KJC189" s="16"/>
      <c r="KJD189" s="16"/>
      <c r="KJE189" s="16"/>
      <c r="KJF189" s="16"/>
      <c r="KJG189" s="16"/>
      <c r="KJH189" s="16"/>
      <c r="KJI189" s="16"/>
      <c r="KJJ189" s="16"/>
      <c r="KJK189" s="16"/>
      <c r="KJL189" s="16"/>
      <c r="KJM189" s="16"/>
      <c r="KJN189" s="16"/>
      <c r="KJO189" s="16"/>
      <c r="KJP189" s="16"/>
      <c r="KJQ189" s="16"/>
      <c r="KJR189" s="16"/>
      <c r="KJS189" s="16"/>
      <c r="KJT189" s="16"/>
      <c r="KJU189" s="16"/>
      <c r="KJV189" s="16"/>
      <c r="KJW189" s="16"/>
      <c r="KJX189" s="16"/>
      <c r="KJY189" s="16"/>
      <c r="KJZ189" s="16"/>
      <c r="KKA189" s="16"/>
      <c r="KKB189" s="16"/>
      <c r="KKC189" s="16"/>
      <c r="KKD189" s="16"/>
      <c r="KKE189" s="16"/>
      <c r="KKF189" s="16"/>
      <c r="KKG189" s="16"/>
      <c r="KKH189" s="16"/>
      <c r="KKI189" s="16"/>
      <c r="KKJ189" s="16"/>
      <c r="KKK189" s="16"/>
      <c r="KKL189" s="16"/>
      <c r="KKM189" s="16"/>
      <c r="KKN189" s="16"/>
      <c r="KKO189" s="16"/>
      <c r="KKP189" s="16"/>
      <c r="KKQ189" s="16"/>
      <c r="KKR189" s="16"/>
      <c r="KKS189" s="16"/>
      <c r="KKT189" s="16"/>
      <c r="KKU189" s="16"/>
      <c r="KKV189" s="16"/>
      <c r="KKW189" s="16"/>
      <c r="KKX189" s="16"/>
      <c r="KKY189" s="16"/>
      <c r="KKZ189" s="16"/>
      <c r="KLA189" s="16"/>
      <c r="KLB189" s="16"/>
      <c r="KLC189" s="16"/>
      <c r="KLD189" s="16"/>
      <c r="KLE189" s="16"/>
      <c r="KLF189" s="16"/>
      <c r="KLG189" s="16"/>
      <c r="KLH189" s="16"/>
      <c r="KLI189" s="16"/>
      <c r="KLJ189" s="16"/>
      <c r="KLK189" s="16"/>
      <c r="KLL189" s="16"/>
      <c r="KLM189" s="16"/>
      <c r="KLN189" s="16"/>
      <c r="KLO189" s="16"/>
      <c r="KLP189" s="16"/>
      <c r="KLQ189" s="16"/>
      <c r="KLR189" s="16"/>
      <c r="KLS189" s="16"/>
      <c r="KLT189" s="16"/>
      <c r="KLU189" s="16"/>
      <c r="KLV189" s="16"/>
      <c r="KLW189" s="16"/>
      <c r="KLX189" s="16"/>
      <c r="KLY189" s="16"/>
      <c r="KLZ189" s="16"/>
      <c r="KMA189" s="16"/>
      <c r="KMB189" s="16"/>
      <c r="KMC189" s="16"/>
      <c r="KMD189" s="16"/>
      <c r="KME189" s="16"/>
      <c r="KMF189" s="16"/>
      <c r="KMG189" s="16"/>
      <c r="KMH189" s="16"/>
      <c r="KMI189" s="16"/>
      <c r="KMJ189" s="16"/>
      <c r="KMK189" s="16"/>
      <c r="KML189" s="16"/>
      <c r="KMM189" s="16"/>
      <c r="KMN189" s="16"/>
      <c r="KMO189" s="16"/>
      <c r="KMP189" s="16"/>
      <c r="KMQ189" s="16"/>
      <c r="KMR189" s="16"/>
      <c r="KMS189" s="16"/>
      <c r="KMT189" s="16"/>
      <c r="KMU189" s="16"/>
      <c r="KMV189" s="16"/>
      <c r="KMW189" s="16"/>
      <c r="KMX189" s="16"/>
      <c r="KMY189" s="16"/>
      <c r="KMZ189" s="16"/>
      <c r="KNA189" s="16"/>
      <c r="KNB189" s="16"/>
      <c r="KNC189" s="16"/>
      <c r="KND189" s="16"/>
      <c r="KNE189" s="16"/>
      <c r="KNF189" s="16"/>
      <c r="KNG189" s="16"/>
      <c r="KNH189" s="16"/>
      <c r="KNI189" s="16"/>
      <c r="KNJ189" s="16"/>
      <c r="KNK189" s="16"/>
      <c r="KNL189" s="16"/>
      <c r="KNM189" s="16"/>
      <c r="KNN189" s="16"/>
      <c r="KNO189" s="16"/>
      <c r="KNP189" s="16"/>
      <c r="KNQ189" s="16"/>
      <c r="KNR189" s="16"/>
      <c r="KNS189" s="16"/>
      <c r="KNT189" s="16"/>
      <c r="KNU189" s="16"/>
      <c r="KNV189" s="16"/>
      <c r="KNW189" s="16"/>
      <c r="KNX189" s="16"/>
      <c r="KNY189" s="16"/>
      <c r="KNZ189" s="16"/>
      <c r="KOA189" s="16"/>
      <c r="KOB189" s="16"/>
      <c r="KOC189" s="16"/>
      <c r="KOD189" s="16"/>
      <c r="KOE189" s="16"/>
      <c r="KOF189" s="16"/>
      <c r="KOG189" s="16"/>
      <c r="KOH189" s="16"/>
      <c r="KOI189" s="16"/>
      <c r="KOJ189" s="16"/>
      <c r="KOK189" s="16"/>
      <c r="KOL189" s="16"/>
      <c r="KOM189" s="16"/>
      <c r="KON189" s="16"/>
      <c r="KOO189" s="16"/>
      <c r="KOP189" s="16"/>
      <c r="KOQ189" s="16"/>
      <c r="KOR189" s="16"/>
      <c r="KOS189" s="16"/>
      <c r="KOT189" s="16"/>
      <c r="KOU189" s="16"/>
      <c r="KOV189" s="16"/>
      <c r="KOW189" s="16"/>
      <c r="KOX189" s="16"/>
      <c r="KOY189" s="16"/>
      <c r="KOZ189" s="16"/>
      <c r="KPA189" s="16"/>
      <c r="KPB189" s="16"/>
      <c r="KPC189" s="16"/>
      <c r="KPD189" s="16"/>
      <c r="KPE189" s="16"/>
      <c r="KPF189" s="16"/>
      <c r="KPG189" s="16"/>
      <c r="KPH189" s="16"/>
      <c r="KPI189" s="16"/>
      <c r="KPJ189" s="16"/>
      <c r="KPK189" s="16"/>
      <c r="KPL189" s="16"/>
      <c r="KPM189" s="16"/>
      <c r="KPN189" s="16"/>
      <c r="KPO189" s="16"/>
      <c r="KPP189" s="16"/>
      <c r="KPQ189" s="16"/>
      <c r="KPR189" s="16"/>
      <c r="KPS189" s="16"/>
      <c r="KPT189" s="16"/>
      <c r="KPU189" s="16"/>
      <c r="KPV189" s="16"/>
      <c r="KPW189" s="16"/>
      <c r="KPX189" s="16"/>
      <c r="KPY189" s="16"/>
      <c r="KPZ189" s="16"/>
      <c r="KQA189" s="16"/>
      <c r="KQB189" s="16"/>
      <c r="KQC189" s="16"/>
      <c r="KQD189" s="16"/>
      <c r="KQE189" s="16"/>
      <c r="KQF189" s="16"/>
      <c r="KQG189" s="16"/>
      <c r="KQH189" s="16"/>
      <c r="KQI189" s="16"/>
      <c r="KQJ189" s="16"/>
      <c r="KQK189" s="16"/>
      <c r="KQL189" s="16"/>
      <c r="KQM189" s="16"/>
      <c r="KQN189" s="16"/>
      <c r="KQO189" s="16"/>
      <c r="KQP189" s="16"/>
      <c r="KQQ189" s="16"/>
      <c r="KQR189" s="16"/>
      <c r="KQS189" s="16"/>
      <c r="KQT189" s="16"/>
      <c r="KQU189" s="16"/>
      <c r="KQV189" s="16"/>
      <c r="KQW189" s="16"/>
      <c r="KQX189" s="16"/>
      <c r="KQY189" s="16"/>
      <c r="KQZ189" s="16"/>
      <c r="KRA189" s="16"/>
      <c r="KRB189" s="16"/>
      <c r="KRC189" s="16"/>
      <c r="KRD189" s="16"/>
      <c r="KRE189" s="16"/>
      <c r="KRF189" s="16"/>
      <c r="KRG189" s="16"/>
      <c r="KRH189" s="16"/>
      <c r="KRI189" s="16"/>
      <c r="KRJ189" s="16"/>
      <c r="KRK189" s="16"/>
      <c r="KRL189" s="16"/>
      <c r="KRM189" s="16"/>
      <c r="KRN189" s="16"/>
      <c r="KRO189" s="16"/>
      <c r="KRP189" s="16"/>
      <c r="KRQ189" s="16"/>
      <c r="KRR189" s="16"/>
      <c r="KRS189" s="16"/>
      <c r="KRT189" s="16"/>
      <c r="KRU189" s="16"/>
      <c r="KRV189" s="16"/>
      <c r="KRW189" s="16"/>
      <c r="KRX189" s="16"/>
      <c r="KRY189" s="16"/>
      <c r="KRZ189" s="16"/>
      <c r="KSA189" s="16"/>
      <c r="KSB189" s="16"/>
      <c r="KSC189" s="16"/>
      <c r="KSD189" s="16"/>
      <c r="KSE189" s="16"/>
      <c r="KSF189" s="16"/>
      <c r="KSG189" s="16"/>
      <c r="KSH189" s="16"/>
      <c r="KSI189" s="16"/>
      <c r="KSJ189" s="16"/>
      <c r="KSK189" s="16"/>
      <c r="KSL189" s="16"/>
      <c r="KSM189" s="16"/>
      <c r="KSN189" s="16"/>
      <c r="KSO189" s="16"/>
      <c r="KSP189" s="16"/>
      <c r="KSQ189" s="16"/>
      <c r="KSR189" s="16"/>
      <c r="KSS189" s="16"/>
      <c r="KST189" s="16"/>
      <c r="KSU189" s="16"/>
      <c r="KSV189" s="16"/>
      <c r="KSW189" s="16"/>
      <c r="KSX189" s="16"/>
      <c r="KSY189" s="16"/>
      <c r="KSZ189" s="16"/>
      <c r="KTA189" s="16"/>
      <c r="KTB189" s="16"/>
      <c r="KTC189" s="16"/>
      <c r="KTD189" s="16"/>
      <c r="KTE189" s="16"/>
      <c r="KTF189" s="16"/>
      <c r="KTG189" s="16"/>
      <c r="KTH189" s="16"/>
      <c r="KTI189" s="16"/>
      <c r="KTJ189" s="16"/>
      <c r="KTK189" s="16"/>
      <c r="KTL189" s="16"/>
      <c r="KTM189" s="16"/>
      <c r="KTN189" s="16"/>
      <c r="KTO189" s="16"/>
      <c r="KTP189" s="16"/>
      <c r="KTQ189" s="16"/>
      <c r="KTR189" s="16"/>
      <c r="KTS189" s="16"/>
      <c r="KTT189" s="16"/>
      <c r="KTU189" s="16"/>
      <c r="KTV189" s="16"/>
      <c r="KTW189" s="16"/>
      <c r="KTX189" s="16"/>
      <c r="KTY189" s="16"/>
      <c r="KTZ189" s="16"/>
      <c r="KUA189" s="16"/>
      <c r="KUB189" s="16"/>
      <c r="KUC189" s="16"/>
      <c r="KUD189" s="16"/>
      <c r="KUE189" s="16"/>
      <c r="KUF189" s="16"/>
      <c r="KUG189" s="16"/>
      <c r="KUH189" s="16"/>
      <c r="KUI189" s="16"/>
      <c r="KUJ189" s="16"/>
      <c r="KUK189" s="16"/>
      <c r="KUL189" s="16"/>
      <c r="KUM189" s="16"/>
      <c r="KUN189" s="16"/>
      <c r="KUO189" s="16"/>
      <c r="KUP189" s="16"/>
      <c r="KUQ189" s="16"/>
      <c r="KUR189" s="16"/>
      <c r="KUS189" s="16"/>
      <c r="KUT189" s="16"/>
      <c r="KUU189" s="16"/>
      <c r="KUV189" s="16"/>
      <c r="KUW189" s="16"/>
      <c r="KUX189" s="16"/>
      <c r="KUY189" s="16"/>
      <c r="KUZ189" s="16"/>
      <c r="KVA189" s="16"/>
      <c r="KVB189" s="16"/>
      <c r="KVC189" s="16"/>
      <c r="KVD189" s="16"/>
      <c r="KVE189" s="16"/>
      <c r="KVF189" s="16"/>
      <c r="KVG189" s="16"/>
      <c r="KVH189" s="16"/>
      <c r="KVI189" s="16"/>
      <c r="KVJ189" s="16"/>
      <c r="KVK189" s="16"/>
      <c r="KVL189" s="16"/>
      <c r="KVM189" s="16"/>
      <c r="KVN189" s="16"/>
      <c r="KVO189" s="16"/>
      <c r="KVP189" s="16"/>
      <c r="KVQ189" s="16"/>
      <c r="KVR189" s="16"/>
      <c r="KVS189" s="16"/>
      <c r="KVT189" s="16"/>
      <c r="KVU189" s="16"/>
      <c r="KVV189" s="16"/>
      <c r="KVW189" s="16"/>
      <c r="KVX189" s="16"/>
      <c r="KVY189" s="16"/>
      <c r="KVZ189" s="16"/>
      <c r="KWA189" s="16"/>
      <c r="KWB189" s="16"/>
      <c r="KWC189" s="16"/>
      <c r="KWD189" s="16"/>
      <c r="KWE189" s="16"/>
      <c r="KWF189" s="16"/>
      <c r="KWG189" s="16"/>
      <c r="KWH189" s="16"/>
      <c r="KWI189" s="16"/>
      <c r="KWJ189" s="16"/>
      <c r="KWK189" s="16"/>
      <c r="KWL189" s="16"/>
      <c r="KWM189" s="16"/>
      <c r="KWN189" s="16"/>
      <c r="KWO189" s="16"/>
      <c r="KWP189" s="16"/>
      <c r="KWQ189" s="16"/>
      <c r="KWR189" s="16"/>
      <c r="KWS189" s="16"/>
      <c r="KWT189" s="16"/>
      <c r="KWU189" s="16"/>
      <c r="KWV189" s="16"/>
      <c r="KWW189" s="16"/>
      <c r="KWX189" s="16"/>
      <c r="KWY189" s="16"/>
      <c r="KWZ189" s="16"/>
      <c r="KXA189" s="16"/>
      <c r="KXB189" s="16"/>
      <c r="KXC189" s="16"/>
      <c r="KXD189" s="16"/>
      <c r="KXE189" s="16"/>
      <c r="KXF189" s="16"/>
      <c r="KXG189" s="16"/>
      <c r="KXH189" s="16"/>
      <c r="KXI189" s="16"/>
      <c r="KXJ189" s="16"/>
      <c r="KXK189" s="16"/>
      <c r="KXL189" s="16"/>
      <c r="KXM189" s="16"/>
      <c r="KXN189" s="16"/>
      <c r="KXO189" s="16"/>
      <c r="KXP189" s="16"/>
      <c r="KXQ189" s="16"/>
      <c r="KXR189" s="16"/>
      <c r="KXS189" s="16"/>
      <c r="KXT189" s="16"/>
      <c r="KXU189" s="16"/>
      <c r="KXV189" s="16"/>
      <c r="KXW189" s="16"/>
      <c r="KXX189" s="16"/>
      <c r="KXY189" s="16"/>
      <c r="KXZ189" s="16"/>
      <c r="KYA189" s="16"/>
      <c r="KYB189" s="16"/>
      <c r="KYC189" s="16"/>
      <c r="KYD189" s="16"/>
      <c r="KYE189" s="16"/>
      <c r="KYF189" s="16"/>
      <c r="KYG189" s="16"/>
      <c r="KYH189" s="16"/>
      <c r="KYI189" s="16"/>
      <c r="KYJ189" s="16"/>
      <c r="KYK189" s="16"/>
      <c r="KYL189" s="16"/>
      <c r="KYM189" s="16"/>
      <c r="KYN189" s="16"/>
      <c r="KYO189" s="16"/>
      <c r="KYP189" s="16"/>
      <c r="KYQ189" s="16"/>
      <c r="KYR189" s="16"/>
      <c r="KYS189" s="16"/>
      <c r="KYT189" s="16"/>
      <c r="KYU189" s="16"/>
      <c r="KYV189" s="16"/>
      <c r="KYW189" s="16"/>
      <c r="KYX189" s="16"/>
      <c r="KYY189" s="16"/>
      <c r="KYZ189" s="16"/>
      <c r="KZA189" s="16"/>
      <c r="KZB189" s="16"/>
      <c r="KZC189" s="16"/>
      <c r="KZD189" s="16"/>
      <c r="KZE189" s="16"/>
      <c r="KZF189" s="16"/>
      <c r="KZG189" s="16"/>
      <c r="KZH189" s="16"/>
      <c r="KZI189" s="16"/>
      <c r="KZJ189" s="16"/>
      <c r="KZK189" s="16"/>
      <c r="KZL189" s="16"/>
      <c r="KZM189" s="16"/>
      <c r="KZN189" s="16"/>
      <c r="KZO189" s="16"/>
      <c r="KZP189" s="16"/>
      <c r="KZQ189" s="16"/>
      <c r="KZR189" s="16"/>
      <c r="KZS189" s="16"/>
      <c r="KZT189" s="16"/>
      <c r="KZU189" s="16"/>
      <c r="KZV189" s="16"/>
      <c r="KZW189" s="16"/>
      <c r="KZX189" s="16"/>
      <c r="KZY189" s="16"/>
      <c r="KZZ189" s="16"/>
      <c r="LAA189" s="16"/>
      <c r="LAB189" s="16"/>
      <c r="LAC189" s="16"/>
      <c r="LAD189" s="16"/>
      <c r="LAE189" s="16"/>
      <c r="LAF189" s="16"/>
      <c r="LAG189" s="16"/>
      <c r="LAH189" s="16"/>
      <c r="LAI189" s="16"/>
      <c r="LAJ189" s="16"/>
      <c r="LAK189" s="16"/>
      <c r="LAL189" s="16"/>
      <c r="LAM189" s="16"/>
      <c r="LAN189" s="16"/>
      <c r="LAO189" s="16"/>
      <c r="LAP189" s="16"/>
      <c r="LAQ189" s="16"/>
      <c r="LAR189" s="16"/>
      <c r="LAS189" s="16"/>
      <c r="LAT189" s="16"/>
      <c r="LAU189" s="16"/>
      <c r="LAV189" s="16"/>
      <c r="LAW189" s="16"/>
      <c r="LAX189" s="16"/>
      <c r="LAY189" s="16"/>
      <c r="LAZ189" s="16"/>
      <c r="LBA189" s="16"/>
      <c r="LBB189" s="16"/>
      <c r="LBC189" s="16"/>
      <c r="LBD189" s="16"/>
      <c r="LBE189" s="16"/>
      <c r="LBF189" s="16"/>
      <c r="LBG189" s="16"/>
      <c r="LBH189" s="16"/>
      <c r="LBI189" s="16"/>
      <c r="LBJ189" s="16"/>
      <c r="LBK189" s="16"/>
      <c r="LBL189" s="16"/>
      <c r="LBM189" s="16"/>
      <c r="LBN189" s="16"/>
      <c r="LBO189" s="16"/>
      <c r="LBP189" s="16"/>
      <c r="LBQ189" s="16"/>
      <c r="LBR189" s="16"/>
      <c r="LBS189" s="16"/>
      <c r="LBT189" s="16"/>
      <c r="LBU189" s="16"/>
      <c r="LBV189" s="16"/>
      <c r="LBW189" s="16"/>
      <c r="LBX189" s="16"/>
      <c r="LBY189" s="16"/>
      <c r="LBZ189" s="16"/>
      <c r="LCA189" s="16"/>
      <c r="LCB189" s="16"/>
      <c r="LCC189" s="16"/>
      <c r="LCD189" s="16"/>
      <c r="LCE189" s="16"/>
      <c r="LCF189" s="16"/>
      <c r="LCG189" s="16"/>
      <c r="LCH189" s="16"/>
      <c r="LCI189" s="16"/>
      <c r="LCJ189" s="16"/>
      <c r="LCK189" s="16"/>
      <c r="LCL189" s="16"/>
      <c r="LCM189" s="16"/>
      <c r="LCN189" s="16"/>
      <c r="LCO189" s="16"/>
      <c r="LCP189" s="16"/>
      <c r="LCQ189" s="16"/>
      <c r="LCR189" s="16"/>
      <c r="LCS189" s="16"/>
      <c r="LCT189" s="16"/>
      <c r="LCU189" s="16"/>
      <c r="LCV189" s="16"/>
      <c r="LCW189" s="16"/>
      <c r="LCX189" s="16"/>
      <c r="LCY189" s="16"/>
      <c r="LCZ189" s="16"/>
      <c r="LDA189" s="16"/>
      <c r="LDB189" s="16"/>
      <c r="LDC189" s="16"/>
      <c r="LDD189" s="16"/>
      <c r="LDE189" s="16"/>
      <c r="LDF189" s="16"/>
      <c r="LDG189" s="16"/>
      <c r="LDH189" s="16"/>
      <c r="LDI189" s="16"/>
      <c r="LDJ189" s="16"/>
      <c r="LDK189" s="16"/>
      <c r="LDL189" s="16"/>
      <c r="LDM189" s="16"/>
      <c r="LDN189" s="16"/>
      <c r="LDO189" s="16"/>
      <c r="LDP189" s="16"/>
      <c r="LDQ189" s="16"/>
      <c r="LDR189" s="16"/>
      <c r="LDS189" s="16"/>
      <c r="LDT189" s="16"/>
      <c r="LDU189" s="16"/>
      <c r="LDV189" s="16"/>
      <c r="LDW189" s="16"/>
      <c r="LDX189" s="16"/>
      <c r="LDY189" s="16"/>
      <c r="LDZ189" s="16"/>
      <c r="LEA189" s="16"/>
      <c r="LEB189" s="16"/>
      <c r="LEC189" s="16"/>
      <c r="LED189" s="16"/>
      <c r="LEE189" s="16"/>
      <c r="LEF189" s="16"/>
      <c r="LEG189" s="16"/>
      <c r="LEH189" s="16"/>
      <c r="LEI189" s="16"/>
      <c r="LEJ189" s="16"/>
      <c r="LEK189" s="16"/>
      <c r="LEL189" s="16"/>
      <c r="LEM189" s="16"/>
      <c r="LEN189" s="16"/>
      <c r="LEO189" s="16"/>
      <c r="LEP189" s="16"/>
      <c r="LEQ189" s="16"/>
      <c r="LER189" s="16"/>
      <c r="LES189" s="16"/>
      <c r="LET189" s="16"/>
      <c r="LEU189" s="16"/>
      <c r="LEV189" s="16"/>
      <c r="LEW189" s="16"/>
      <c r="LEX189" s="16"/>
      <c r="LEY189" s="16"/>
      <c r="LEZ189" s="16"/>
      <c r="LFA189" s="16"/>
      <c r="LFB189" s="16"/>
      <c r="LFC189" s="16"/>
      <c r="LFD189" s="16"/>
      <c r="LFE189" s="16"/>
      <c r="LFF189" s="16"/>
      <c r="LFG189" s="16"/>
      <c r="LFH189" s="16"/>
      <c r="LFI189" s="16"/>
      <c r="LFJ189" s="16"/>
      <c r="LFK189" s="16"/>
      <c r="LFL189" s="16"/>
      <c r="LFM189" s="16"/>
      <c r="LFN189" s="16"/>
      <c r="LFO189" s="16"/>
      <c r="LFP189" s="16"/>
      <c r="LFQ189" s="16"/>
      <c r="LFR189" s="16"/>
      <c r="LFS189" s="16"/>
      <c r="LFT189" s="16"/>
      <c r="LFU189" s="16"/>
      <c r="LFV189" s="16"/>
      <c r="LFW189" s="16"/>
      <c r="LFX189" s="16"/>
      <c r="LFY189" s="16"/>
      <c r="LFZ189" s="16"/>
      <c r="LGA189" s="16"/>
      <c r="LGB189" s="16"/>
      <c r="LGC189" s="16"/>
      <c r="LGD189" s="16"/>
      <c r="LGE189" s="16"/>
      <c r="LGF189" s="16"/>
      <c r="LGG189" s="16"/>
      <c r="LGH189" s="16"/>
      <c r="LGI189" s="16"/>
      <c r="LGJ189" s="16"/>
      <c r="LGK189" s="16"/>
      <c r="LGL189" s="16"/>
      <c r="LGM189" s="16"/>
      <c r="LGN189" s="16"/>
      <c r="LGO189" s="16"/>
      <c r="LGP189" s="16"/>
      <c r="LGQ189" s="16"/>
      <c r="LGR189" s="16"/>
      <c r="LGS189" s="16"/>
      <c r="LGT189" s="16"/>
      <c r="LGU189" s="16"/>
      <c r="LGV189" s="16"/>
      <c r="LGW189" s="16"/>
      <c r="LGX189" s="16"/>
      <c r="LGY189" s="16"/>
      <c r="LGZ189" s="16"/>
      <c r="LHA189" s="16"/>
      <c r="LHB189" s="16"/>
      <c r="LHC189" s="16"/>
      <c r="LHD189" s="16"/>
      <c r="LHE189" s="16"/>
      <c r="LHF189" s="16"/>
      <c r="LHG189" s="16"/>
      <c r="LHH189" s="16"/>
      <c r="LHI189" s="16"/>
      <c r="LHJ189" s="16"/>
      <c r="LHK189" s="16"/>
      <c r="LHL189" s="16"/>
      <c r="LHM189" s="16"/>
      <c r="LHN189" s="16"/>
      <c r="LHO189" s="16"/>
      <c r="LHP189" s="16"/>
      <c r="LHQ189" s="16"/>
      <c r="LHR189" s="16"/>
      <c r="LHS189" s="16"/>
      <c r="LHT189" s="16"/>
      <c r="LHU189" s="16"/>
      <c r="LHV189" s="16"/>
      <c r="LHW189" s="16"/>
      <c r="LHX189" s="16"/>
      <c r="LHY189" s="16"/>
      <c r="LHZ189" s="16"/>
      <c r="LIA189" s="16"/>
      <c r="LIB189" s="16"/>
      <c r="LIC189" s="16"/>
      <c r="LID189" s="16"/>
      <c r="LIE189" s="16"/>
      <c r="LIF189" s="16"/>
      <c r="LIG189" s="16"/>
      <c r="LIH189" s="16"/>
      <c r="LII189" s="16"/>
      <c r="LIJ189" s="16"/>
      <c r="LIK189" s="16"/>
      <c r="LIL189" s="16"/>
      <c r="LIM189" s="16"/>
      <c r="LIN189" s="16"/>
      <c r="LIO189" s="16"/>
      <c r="LIP189" s="16"/>
      <c r="LIQ189" s="16"/>
      <c r="LIR189" s="16"/>
      <c r="LIS189" s="16"/>
      <c r="LIT189" s="16"/>
      <c r="LIU189" s="16"/>
      <c r="LIV189" s="16"/>
      <c r="LIW189" s="16"/>
      <c r="LIX189" s="16"/>
      <c r="LIY189" s="16"/>
      <c r="LIZ189" s="16"/>
      <c r="LJA189" s="16"/>
      <c r="LJB189" s="16"/>
      <c r="LJC189" s="16"/>
      <c r="LJD189" s="16"/>
      <c r="LJE189" s="16"/>
      <c r="LJF189" s="16"/>
      <c r="LJG189" s="16"/>
      <c r="LJH189" s="16"/>
      <c r="LJI189" s="16"/>
      <c r="LJJ189" s="16"/>
      <c r="LJK189" s="16"/>
      <c r="LJL189" s="16"/>
      <c r="LJM189" s="16"/>
      <c r="LJN189" s="16"/>
      <c r="LJO189" s="16"/>
      <c r="LJP189" s="16"/>
      <c r="LJQ189" s="16"/>
      <c r="LJR189" s="16"/>
      <c r="LJS189" s="16"/>
      <c r="LJT189" s="16"/>
      <c r="LJU189" s="16"/>
      <c r="LJV189" s="16"/>
      <c r="LJW189" s="16"/>
      <c r="LJX189" s="16"/>
      <c r="LJY189" s="16"/>
      <c r="LJZ189" s="16"/>
      <c r="LKA189" s="16"/>
      <c r="LKB189" s="16"/>
      <c r="LKC189" s="16"/>
      <c r="LKD189" s="16"/>
      <c r="LKE189" s="16"/>
      <c r="LKF189" s="16"/>
      <c r="LKG189" s="16"/>
      <c r="LKH189" s="16"/>
      <c r="LKI189" s="16"/>
      <c r="LKJ189" s="16"/>
      <c r="LKK189" s="16"/>
      <c r="LKL189" s="16"/>
      <c r="LKM189" s="16"/>
      <c r="LKN189" s="16"/>
      <c r="LKO189" s="16"/>
      <c r="LKP189" s="16"/>
      <c r="LKQ189" s="16"/>
      <c r="LKR189" s="16"/>
      <c r="LKS189" s="16"/>
      <c r="LKT189" s="16"/>
      <c r="LKU189" s="16"/>
      <c r="LKV189" s="16"/>
      <c r="LKW189" s="16"/>
      <c r="LKX189" s="16"/>
      <c r="LKY189" s="16"/>
      <c r="LKZ189" s="16"/>
      <c r="LLA189" s="16"/>
      <c r="LLB189" s="16"/>
      <c r="LLC189" s="16"/>
      <c r="LLD189" s="16"/>
      <c r="LLE189" s="16"/>
      <c r="LLF189" s="16"/>
      <c r="LLG189" s="16"/>
      <c r="LLH189" s="16"/>
      <c r="LLI189" s="16"/>
      <c r="LLJ189" s="16"/>
      <c r="LLK189" s="16"/>
      <c r="LLL189" s="16"/>
      <c r="LLM189" s="16"/>
      <c r="LLN189" s="16"/>
      <c r="LLO189" s="16"/>
      <c r="LLP189" s="16"/>
      <c r="LLQ189" s="16"/>
      <c r="LLR189" s="16"/>
      <c r="LLS189" s="16"/>
      <c r="LLT189" s="16"/>
      <c r="LLU189" s="16"/>
      <c r="LLV189" s="16"/>
      <c r="LLW189" s="16"/>
      <c r="LLX189" s="16"/>
      <c r="LLY189" s="16"/>
      <c r="LLZ189" s="16"/>
      <c r="LMA189" s="16"/>
      <c r="LMB189" s="16"/>
      <c r="LMC189" s="16"/>
      <c r="LMD189" s="16"/>
      <c r="LME189" s="16"/>
      <c r="LMF189" s="16"/>
      <c r="LMG189" s="16"/>
      <c r="LMH189" s="16"/>
      <c r="LMI189" s="16"/>
      <c r="LMJ189" s="16"/>
      <c r="LMK189" s="16"/>
      <c r="LML189" s="16"/>
      <c r="LMM189" s="16"/>
      <c r="LMN189" s="16"/>
      <c r="LMO189" s="16"/>
      <c r="LMP189" s="16"/>
      <c r="LMQ189" s="16"/>
      <c r="LMR189" s="16"/>
      <c r="LMS189" s="16"/>
      <c r="LMT189" s="16"/>
      <c r="LMU189" s="16"/>
      <c r="LMV189" s="16"/>
      <c r="LMW189" s="16"/>
      <c r="LMX189" s="16"/>
      <c r="LMY189" s="16"/>
      <c r="LMZ189" s="16"/>
      <c r="LNA189" s="16"/>
      <c r="LNB189" s="16"/>
      <c r="LNC189" s="16"/>
      <c r="LND189" s="16"/>
      <c r="LNE189" s="16"/>
      <c r="LNF189" s="16"/>
      <c r="LNG189" s="16"/>
      <c r="LNH189" s="16"/>
      <c r="LNI189" s="16"/>
      <c r="LNJ189" s="16"/>
      <c r="LNK189" s="16"/>
      <c r="LNL189" s="16"/>
      <c r="LNM189" s="16"/>
      <c r="LNN189" s="16"/>
      <c r="LNO189" s="16"/>
      <c r="LNP189" s="16"/>
      <c r="LNQ189" s="16"/>
      <c r="LNR189" s="16"/>
      <c r="LNS189" s="16"/>
      <c r="LNT189" s="16"/>
      <c r="LNU189" s="16"/>
      <c r="LNV189" s="16"/>
      <c r="LNW189" s="16"/>
      <c r="LNX189" s="16"/>
      <c r="LNY189" s="16"/>
      <c r="LNZ189" s="16"/>
      <c r="LOA189" s="16"/>
      <c r="LOB189" s="16"/>
      <c r="LOC189" s="16"/>
      <c r="LOD189" s="16"/>
      <c r="LOE189" s="16"/>
      <c r="LOF189" s="16"/>
      <c r="LOG189" s="16"/>
      <c r="LOH189" s="16"/>
      <c r="LOI189" s="16"/>
      <c r="LOJ189" s="16"/>
      <c r="LOK189" s="16"/>
      <c r="LOL189" s="16"/>
      <c r="LOM189" s="16"/>
      <c r="LON189" s="16"/>
      <c r="LOO189" s="16"/>
      <c r="LOP189" s="16"/>
      <c r="LOQ189" s="16"/>
      <c r="LOR189" s="16"/>
      <c r="LOS189" s="16"/>
      <c r="LOT189" s="16"/>
      <c r="LOU189" s="16"/>
      <c r="LOV189" s="16"/>
      <c r="LOW189" s="16"/>
      <c r="LOX189" s="16"/>
      <c r="LOY189" s="16"/>
      <c r="LOZ189" s="16"/>
      <c r="LPA189" s="16"/>
      <c r="LPB189" s="16"/>
      <c r="LPC189" s="16"/>
      <c r="LPD189" s="16"/>
      <c r="LPE189" s="16"/>
      <c r="LPF189" s="16"/>
      <c r="LPG189" s="16"/>
      <c r="LPH189" s="16"/>
      <c r="LPI189" s="16"/>
      <c r="LPJ189" s="16"/>
      <c r="LPK189" s="16"/>
      <c r="LPL189" s="16"/>
      <c r="LPM189" s="16"/>
      <c r="LPN189" s="16"/>
      <c r="LPO189" s="16"/>
      <c r="LPP189" s="16"/>
      <c r="LPQ189" s="16"/>
      <c r="LPR189" s="16"/>
      <c r="LPS189" s="16"/>
      <c r="LPT189" s="16"/>
      <c r="LPU189" s="16"/>
      <c r="LPV189" s="16"/>
      <c r="LPW189" s="16"/>
      <c r="LPX189" s="16"/>
      <c r="LPY189" s="16"/>
      <c r="LPZ189" s="16"/>
      <c r="LQA189" s="16"/>
      <c r="LQB189" s="16"/>
      <c r="LQC189" s="16"/>
      <c r="LQD189" s="16"/>
      <c r="LQE189" s="16"/>
      <c r="LQF189" s="16"/>
      <c r="LQG189" s="16"/>
      <c r="LQH189" s="16"/>
      <c r="LQI189" s="16"/>
      <c r="LQJ189" s="16"/>
      <c r="LQK189" s="16"/>
      <c r="LQL189" s="16"/>
      <c r="LQM189" s="16"/>
      <c r="LQN189" s="16"/>
      <c r="LQO189" s="16"/>
      <c r="LQP189" s="16"/>
      <c r="LQQ189" s="16"/>
      <c r="LQR189" s="16"/>
      <c r="LQS189" s="16"/>
      <c r="LQT189" s="16"/>
      <c r="LQU189" s="16"/>
      <c r="LQV189" s="16"/>
      <c r="LQW189" s="16"/>
      <c r="LQX189" s="16"/>
      <c r="LQY189" s="16"/>
      <c r="LQZ189" s="16"/>
      <c r="LRA189" s="16"/>
      <c r="LRB189" s="16"/>
      <c r="LRC189" s="16"/>
      <c r="LRD189" s="16"/>
      <c r="LRE189" s="16"/>
      <c r="LRF189" s="16"/>
      <c r="LRG189" s="16"/>
      <c r="LRH189" s="16"/>
      <c r="LRI189" s="16"/>
      <c r="LRJ189" s="16"/>
      <c r="LRK189" s="16"/>
      <c r="LRL189" s="16"/>
      <c r="LRM189" s="16"/>
      <c r="LRN189" s="16"/>
      <c r="LRO189" s="16"/>
      <c r="LRP189" s="16"/>
      <c r="LRQ189" s="16"/>
      <c r="LRR189" s="16"/>
      <c r="LRS189" s="16"/>
      <c r="LRT189" s="16"/>
      <c r="LRU189" s="16"/>
      <c r="LRV189" s="16"/>
      <c r="LRW189" s="16"/>
      <c r="LRX189" s="16"/>
      <c r="LRY189" s="16"/>
      <c r="LRZ189" s="16"/>
      <c r="LSA189" s="16"/>
      <c r="LSB189" s="16"/>
      <c r="LSC189" s="16"/>
      <c r="LSD189" s="16"/>
      <c r="LSE189" s="16"/>
      <c r="LSF189" s="16"/>
      <c r="LSG189" s="16"/>
      <c r="LSH189" s="16"/>
      <c r="LSI189" s="16"/>
      <c r="LSJ189" s="16"/>
      <c r="LSK189" s="16"/>
      <c r="LSL189" s="16"/>
      <c r="LSM189" s="16"/>
      <c r="LSN189" s="16"/>
      <c r="LSO189" s="16"/>
      <c r="LSP189" s="16"/>
      <c r="LSQ189" s="16"/>
      <c r="LSR189" s="16"/>
      <c r="LSS189" s="16"/>
      <c r="LST189" s="16"/>
      <c r="LSU189" s="16"/>
      <c r="LSV189" s="16"/>
      <c r="LSW189" s="16"/>
      <c r="LSX189" s="16"/>
      <c r="LSY189" s="16"/>
      <c r="LSZ189" s="16"/>
      <c r="LTA189" s="16"/>
      <c r="LTB189" s="16"/>
      <c r="LTC189" s="16"/>
      <c r="LTD189" s="16"/>
      <c r="LTE189" s="16"/>
      <c r="LTF189" s="16"/>
      <c r="LTG189" s="16"/>
      <c r="LTH189" s="16"/>
      <c r="LTI189" s="16"/>
      <c r="LTJ189" s="16"/>
      <c r="LTK189" s="16"/>
      <c r="LTL189" s="16"/>
      <c r="LTM189" s="16"/>
      <c r="LTN189" s="16"/>
      <c r="LTO189" s="16"/>
      <c r="LTP189" s="16"/>
      <c r="LTQ189" s="16"/>
      <c r="LTR189" s="16"/>
      <c r="LTS189" s="16"/>
      <c r="LTT189" s="16"/>
      <c r="LTU189" s="16"/>
      <c r="LTV189" s="16"/>
      <c r="LTW189" s="16"/>
      <c r="LTX189" s="16"/>
      <c r="LTY189" s="16"/>
      <c r="LTZ189" s="16"/>
      <c r="LUA189" s="16"/>
      <c r="LUB189" s="16"/>
      <c r="LUC189" s="16"/>
      <c r="LUD189" s="16"/>
      <c r="LUE189" s="16"/>
      <c r="LUF189" s="16"/>
      <c r="LUG189" s="16"/>
      <c r="LUH189" s="16"/>
      <c r="LUI189" s="16"/>
      <c r="LUJ189" s="16"/>
      <c r="LUK189" s="16"/>
      <c r="LUL189" s="16"/>
      <c r="LUM189" s="16"/>
      <c r="LUN189" s="16"/>
      <c r="LUO189" s="16"/>
      <c r="LUP189" s="16"/>
      <c r="LUQ189" s="16"/>
      <c r="LUR189" s="16"/>
      <c r="LUS189" s="16"/>
      <c r="LUT189" s="16"/>
      <c r="LUU189" s="16"/>
      <c r="LUV189" s="16"/>
      <c r="LUW189" s="16"/>
      <c r="LUX189" s="16"/>
      <c r="LUY189" s="16"/>
      <c r="LUZ189" s="16"/>
      <c r="LVA189" s="16"/>
      <c r="LVB189" s="16"/>
      <c r="LVC189" s="16"/>
      <c r="LVD189" s="16"/>
      <c r="LVE189" s="16"/>
      <c r="LVF189" s="16"/>
      <c r="LVG189" s="16"/>
      <c r="LVH189" s="16"/>
      <c r="LVI189" s="16"/>
      <c r="LVJ189" s="16"/>
      <c r="LVK189" s="16"/>
      <c r="LVL189" s="16"/>
      <c r="LVM189" s="16"/>
      <c r="LVN189" s="16"/>
      <c r="LVO189" s="16"/>
      <c r="LVP189" s="16"/>
      <c r="LVQ189" s="16"/>
      <c r="LVR189" s="16"/>
      <c r="LVS189" s="16"/>
      <c r="LVT189" s="16"/>
      <c r="LVU189" s="16"/>
      <c r="LVV189" s="16"/>
      <c r="LVW189" s="16"/>
      <c r="LVX189" s="16"/>
      <c r="LVY189" s="16"/>
      <c r="LVZ189" s="16"/>
      <c r="LWA189" s="16"/>
      <c r="LWB189" s="16"/>
      <c r="LWC189" s="16"/>
      <c r="LWD189" s="16"/>
      <c r="LWE189" s="16"/>
      <c r="LWF189" s="16"/>
      <c r="LWG189" s="16"/>
      <c r="LWH189" s="16"/>
      <c r="LWI189" s="16"/>
      <c r="LWJ189" s="16"/>
      <c r="LWK189" s="16"/>
      <c r="LWL189" s="16"/>
      <c r="LWM189" s="16"/>
      <c r="LWN189" s="16"/>
      <c r="LWO189" s="16"/>
      <c r="LWP189" s="16"/>
      <c r="LWQ189" s="16"/>
      <c r="LWR189" s="16"/>
      <c r="LWS189" s="16"/>
      <c r="LWT189" s="16"/>
      <c r="LWU189" s="16"/>
      <c r="LWV189" s="16"/>
      <c r="LWW189" s="16"/>
      <c r="LWX189" s="16"/>
      <c r="LWY189" s="16"/>
      <c r="LWZ189" s="16"/>
      <c r="LXA189" s="16"/>
      <c r="LXB189" s="16"/>
      <c r="LXC189" s="16"/>
      <c r="LXD189" s="16"/>
      <c r="LXE189" s="16"/>
      <c r="LXF189" s="16"/>
      <c r="LXG189" s="16"/>
      <c r="LXH189" s="16"/>
      <c r="LXI189" s="16"/>
      <c r="LXJ189" s="16"/>
      <c r="LXK189" s="16"/>
      <c r="LXL189" s="16"/>
      <c r="LXM189" s="16"/>
      <c r="LXN189" s="16"/>
      <c r="LXO189" s="16"/>
      <c r="LXP189" s="16"/>
      <c r="LXQ189" s="16"/>
      <c r="LXR189" s="16"/>
      <c r="LXS189" s="16"/>
      <c r="LXT189" s="16"/>
      <c r="LXU189" s="16"/>
      <c r="LXV189" s="16"/>
      <c r="LXW189" s="16"/>
      <c r="LXX189" s="16"/>
      <c r="LXY189" s="16"/>
      <c r="LXZ189" s="16"/>
      <c r="LYA189" s="16"/>
      <c r="LYB189" s="16"/>
      <c r="LYC189" s="16"/>
      <c r="LYD189" s="16"/>
      <c r="LYE189" s="16"/>
      <c r="LYF189" s="16"/>
      <c r="LYG189" s="16"/>
      <c r="LYH189" s="16"/>
      <c r="LYI189" s="16"/>
      <c r="LYJ189" s="16"/>
      <c r="LYK189" s="16"/>
      <c r="LYL189" s="16"/>
      <c r="LYM189" s="16"/>
      <c r="LYN189" s="16"/>
      <c r="LYO189" s="16"/>
      <c r="LYP189" s="16"/>
      <c r="LYQ189" s="16"/>
      <c r="LYR189" s="16"/>
      <c r="LYS189" s="16"/>
      <c r="LYT189" s="16"/>
      <c r="LYU189" s="16"/>
      <c r="LYV189" s="16"/>
      <c r="LYW189" s="16"/>
      <c r="LYX189" s="16"/>
      <c r="LYY189" s="16"/>
      <c r="LYZ189" s="16"/>
      <c r="LZA189" s="16"/>
      <c r="LZB189" s="16"/>
      <c r="LZC189" s="16"/>
      <c r="LZD189" s="16"/>
      <c r="LZE189" s="16"/>
      <c r="LZF189" s="16"/>
      <c r="LZG189" s="16"/>
      <c r="LZH189" s="16"/>
      <c r="LZI189" s="16"/>
      <c r="LZJ189" s="16"/>
      <c r="LZK189" s="16"/>
      <c r="LZL189" s="16"/>
      <c r="LZM189" s="16"/>
      <c r="LZN189" s="16"/>
      <c r="LZO189" s="16"/>
      <c r="LZP189" s="16"/>
      <c r="LZQ189" s="16"/>
      <c r="LZR189" s="16"/>
      <c r="LZS189" s="16"/>
      <c r="LZT189" s="16"/>
      <c r="LZU189" s="16"/>
      <c r="LZV189" s="16"/>
      <c r="LZW189" s="16"/>
      <c r="LZX189" s="16"/>
      <c r="LZY189" s="16"/>
      <c r="LZZ189" s="16"/>
      <c r="MAA189" s="16"/>
      <c r="MAB189" s="16"/>
      <c r="MAC189" s="16"/>
      <c r="MAD189" s="16"/>
      <c r="MAE189" s="16"/>
      <c r="MAF189" s="16"/>
      <c r="MAG189" s="16"/>
      <c r="MAH189" s="16"/>
      <c r="MAI189" s="16"/>
      <c r="MAJ189" s="16"/>
      <c r="MAK189" s="16"/>
      <c r="MAL189" s="16"/>
      <c r="MAM189" s="16"/>
      <c r="MAN189" s="16"/>
      <c r="MAO189" s="16"/>
      <c r="MAP189" s="16"/>
      <c r="MAQ189" s="16"/>
      <c r="MAR189" s="16"/>
      <c r="MAS189" s="16"/>
      <c r="MAT189" s="16"/>
      <c r="MAU189" s="16"/>
      <c r="MAV189" s="16"/>
      <c r="MAW189" s="16"/>
      <c r="MAX189" s="16"/>
      <c r="MAY189" s="16"/>
      <c r="MAZ189" s="16"/>
      <c r="MBA189" s="16"/>
      <c r="MBB189" s="16"/>
      <c r="MBC189" s="16"/>
      <c r="MBD189" s="16"/>
      <c r="MBE189" s="16"/>
      <c r="MBF189" s="16"/>
      <c r="MBG189" s="16"/>
      <c r="MBH189" s="16"/>
      <c r="MBI189" s="16"/>
      <c r="MBJ189" s="16"/>
      <c r="MBK189" s="16"/>
      <c r="MBL189" s="16"/>
      <c r="MBM189" s="16"/>
      <c r="MBN189" s="16"/>
      <c r="MBO189" s="16"/>
      <c r="MBP189" s="16"/>
      <c r="MBQ189" s="16"/>
      <c r="MBR189" s="16"/>
      <c r="MBS189" s="16"/>
      <c r="MBT189" s="16"/>
      <c r="MBU189" s="16"/>
      <c r="MBV189" s="16"/>
      <c r="MBW189" s="16"/>
      <c r="MBX189" s="16"/>
      <c r="MBY189" s="16"/>
      <c r="MBZ189" s="16"/>
      <c r="MCA189" s="16"/>
      <c r="MCB189" s="16"/>
      <c r="MCC189" s="16"/>
      <c r="MCD189" s="16"/>
      <c r="MCE189" s="16"/>
      <c r="MCF189" s="16"/>
      <c r="MCG189" s="16"/>
      <c r="MCH189" s="16"/>
      <c r="MCI189" s="16"/>
      <c r="MCJ189" s="16"/>
      <c r="MCK189" s="16"/>
      <c r="MCL189" s="16"/>
      <c r="MCM189" s="16"/>
      <c r="MCN189" s="16"/>
      <c r="MCO189" s="16"/>
      <c r="MCP189" s="16"/>
      <c r="MCQ189" s="16"/>
      <c r="MCR189" s="16"/>
      <c r="MCS189" s="16"/>
      <c r="MCT189" s="16"/>
      <c r="MCU189" s="16"/>
      <c r="MCV189" s="16"/>
      <c r="MCW189" s="16"/>
      <c r="MCX189" s="16"/>
      <c r="MCY189" s="16"/>
      <c r="MCZ189" s="16"/>
      <c r="MDA189" s="16"/>
      <c r="MDB189" s="16"/>
      <c r="MDC189" s="16"/>
      <c r="MDD189" s="16"/>
      <c r="MDE189" s="16"/>
      <c r="MDF189" s="16"/>
      <c r="MDG189" s="16"/>
      <c r="MDH189" s="16"/>
      <c r="MDI189" s="16"/>
      <c r="MDJ189" s="16"/>
      <c r="MDK189" s="16"/>
      <c r="MDL189" s="16"/>
      <c r="MDM189" s="16"/>
      <c r="MDN189" s="16"/>
      <c r="MDO189" s="16"/>
      <c r="MDP189" s="16"/>
      <c r="MDQ189" s="16"/>
      <c r="MDR189" s="16"/>
      <c r="MDS189" s="16"/>
      <c r="MDT189" s="16"/>
      <c r="MDU189" s="16"/>
      <c r="MDV189" s="16"/>
      <c r="MDW189" s="16"/>
      <c r="MDX189" s="16"/>
      <c r="MDY189" s="16"/>
      <c r="MDZ189" s="16"/>
      <c r="MEA189" s="16"/>
      <c r="MEB189" s="16"/>
      <c r="MEC189" s="16"/>
      <c r="MED189" s="16"/>
      <c r="MEE189" s="16"/>
      <c r="MEF189" s="16"/>
      <c r="MEG189" s="16"/>
      <c r="MEH189" s="16"/>
      <c r="MEI189" s="16"/>
      <c r="MEJ189" s="16"/>
      <c r="MEK189" s="16"/>
      <c r="MEL189" s="16"/>
      <c r="MEM189" s="16"/>
      <c r="MEN189" s="16"/>
      <c r="MEO189" s="16"/>
      <c r="MEP189" s="16"/>
      <c r="MEQ189" s="16"/>
      <c r="MER189" s="16"/>
      <c r="MES189" s="16"/>
      <c r="MET189" s="16"/>
      <c r="MEU189" s="16"/>
      <c r="MEV189" s="16"/>
      <c r="MEW189" s="16"/>
      <c r="MEX189" s="16"/>
      <c r="MEY189" s="16"/>
      <c r="MEZ189" s="16"/>
      <c r="MFA189" s="16"/>
      <c r="MFB189" s="16"/>
      <c r="MFC189" s="16"/>
      <c r="MFD189" s="16"/>
      <c r="MFE189" s="16"/>
      <c r="MFF189" s="16"/>
      <c r="MFG189" s="16"/>
      <c r="MFH189" s="16"/>
      <c r="MFI189" s="16"/>
      <c r="MFJ189" s="16"/>
      <c r="MFK189" s="16"/>
      <c r="MFL189" s="16"/>
      <c r="MFM189" s="16"/>
      <c r="MFN189" s="16"/>
      <c r="MFO189" s="16"/>
      <c r="MFP189" s="16"/>
      <c r="MFQ189" s="16"/>
      <c r="MFR189" s="16"/>
      <c r="MFS189" s="16"/>
      <c r="MFT189" s="16"/>
      <c r="MFU189" s="16"/>
      <c r="MFV189" s="16"/>
      <c r="MFW189" s="16"/>
      <c r="MFX189" s="16"/>
      <c r="MFY189" s="16"/>
      <c r="MFZ189" s="16"/>
      <c r="MGA189" s="16"/>
      <c r="MGB189" s="16"/>
      <c r="MGC189" s="16"/>
      <c r="MGD189" s="16"/>
      <c r="MGE189" s="16"/>
      <c r="MGF189" s="16"/>
      <c r="MGG189" s="16"/>
      <c r="MGH189" s="16"/>
      <c r="MGI189" s="16"/>
      <c r="MGJ189" s="16"/>
      <c r="MGK189" s="16"/>
      <c r="MGL189" s="16"/>
      <c r="MGM189" s="16"/>
      <c r="MGN189" s="16"/>
      <c r="MGO189" s="16"/>
      <c r="MGP189" s="16"/>
      <c r="MGQ189" s="16"/>
      <c r="MGR189" s="16"/>
      <c r="MGS189" s="16"/>
      <c r="MGT189" s="16"/>
      <c r="MGU189" s="16"/>
      <c r="MGV189" s="16"/>
      <c r="MGW189" s="16"/>
      <c r="MGX189" s="16"/>
      <c r="MGY189" s="16"/>
      <c r="MGZ189" s="16"/>
      <c r="MHA189" s="16"/>
      <c r="MHB189" s="16"/>
      <c r="MHC189" s="16"/>
      <c r="MHD189" s="16"/>
      <c r="MHE189" s="16"/>
      <c r="MHF189" s="16"/>
      <c r="MHG189" s="16"/>
      <c r="MHH189" s="16"/>
      <c r="MHI189" s="16"/>
      <c r="MHJ189" s="16"/>
      <c r="MHK189" s="16"/>
      <c r="MHL189" s="16"/>
      <c r="MHM189" s="16"/>
      <c r="MHN189" s="16"/>
      <c r="MHO189" s="16"/>
      <c r="MHP189" s="16"/>
      <c r="MHQ189" s="16"/>
      <c r="MHR189" s="16"/>
      <c r="MHS189" s="16"/>
      <c r="MHT189" s="16"/>
      <c r="MHU189" s="16"/>
      <c r="MHV189" s="16"/>
      <c r="MHW189" s="16"/>
      <c r="MHX189" s="16"/>
      <c r="MHY189" s="16"/>
      <c r="MHZ189" s="16"/>
      <c r="MIA189" s="16"/>
      <c r="MIB189" s="16"/>
      <c r="MIC189" s="16"/>
      <c r="MID189" s="16"/>
      <c r="MIE189" s="16"/>
      <c r="MIF189" s="16"/>
      <c r="MIG189" s="16"/>
      <c r="MIH189" s="16"/>
      <c r="MII189" s="16"/>
      <c r="MIJ189" s="16"/>
      <c r="MIK189" s="16"/>
      <c r="MIL189" s="16"/>
      <c r="MIM189" s="16"/>
      <c r="MIN189" s="16"/>
      <c r="MIO189" s="16"/>
      <c r="MIP189" s="16"/>
      <c r="MIQ189" s="16"/>
      <c r="MIR189" s="16"/>
      <c r="MIS189" s="16"/>
      <c r="MIT189" s="16"/>
      <c r="MIU189" s="16"/>
      <c r="MIV189" s="16"/>
      <c r="MIW189" s="16"/>
      <c r="MIX189" s="16"/>
      <c r="MIY189" s="16"/>
      <c r="MIZ189" s="16"/>
      <c r="MJA189" s="16"/>
      <c r="MJB189" s="16"/>
      <c r="MJC189" s="16"/>
      <c r="MJD189" s="16"/>
      <c r="MJE189" s="16"/>
      <c r="MJF189" s="16"/>
      <c r="MJG189" s="16"/>
      <c r="MJH189" s="16"/>
      <c r="MJI189" s="16"/>
      <c r="MJJ189" s="16"/>
      <c r="MJK189" s="16"/>
      <c r="MJL189" s="16"/>
      <c r="MJM189" s="16"/>
      <c r="MJN189" s="16"/>
      <c r="MJO189" s="16"/>
      <c r="MJP189" s="16"/>
      <c r="MJQ189" s="16"/>
      <c r="MJR189" s="16"/>
      <c r="MJS189" s="16"/>
      <c r="MJT189" s="16"/>
      <c r="MJU189" s="16"/>
      <c r="MJV189" s="16"/>
      <c r="MJW189" s="16"/>
      <c r="MJX189" s="16"/>
      <c r="MJY189" s="16"/>
      <c r="MJZ189" s="16"/>
      <c r="MKA189" s="16"/>
      <c r="MKB189" s="16"/>
      <c r="MKC189" s="16"/>
      <c r="MKD189" s="16"/>
      <c r="MKE189" s="16"/>
      <c r="MKF189" s="16"/>
      <c r="MKG189" s="16"/>
      <c r="MKH189" s="16"/>
      <c r="MKI189" s="16"/>
      <c r="MKJ189" s="16"/>
      <c r="MKK189" s="16"/>
      <c r="MKL189" s="16"/>
      <c r="MKM189" s="16"/>
      <c r="MKN189" s="16"/>
      <c r="MKO189" s="16"/>
      <c r="MKP189" s="16"/>
      <c r="MKQ189" s="16"/>
      <c r="MKR189" s="16"/>
      <c r="MKS189" s="16"/>
      <c r="MKT189" s="16"/>
      <c r="MKU189" s="16"/>
      <c r="MKV189" s="16"/>
      <c r="MKW189" s="16"/>
      <c r="MKX189" s="16"/>
      <c r="MKY189" s="16"/>
      <c r="MKZ189" s="16"/>
      <c r="MLA189" s="16"/>
      <c r="MLB189" s="16"/>
      <c r="MLC189" s="16"/>
      <c r="MLD189" s="16"/>
      <c r="MLE189" s="16"/>
      <c r="MLF189" s="16"/>
      <c r="MLG189" s="16"/>
      <c r="MLH189" s="16"/>
      <c r="MLI189" s="16"/>
      <c r="MLJ189" s="16"/>
      <c r="MLK189" s="16"/>
      <c r="MLL189" s="16"/>
      <c r="MLM189" s="16"/>
      <c r="MLN189" s="16"/>
      <c r="MLO189" s="16"/>
      <c r="MLP189" s="16"/>
      <c r="MLQ189" s="16"/>
      <c r="MLR189" s="16"/>
      <c r="MLS189" s="16"/>
      <c r="MLT189" s="16"/>
      <c r="MLU189" s="16"/>
      <c r="MLV189" s="16"/>
      <c r="MLW189" s="16"/>
      <c r="MLX189" s="16"/>
      <c r="MLY189" s="16"/>
      <c r="MLZ189" s="16"/>
      <c r="MMA189" s="16"/>
      <c r="MMB189" s="16"/>
      <c r="MMC189" s="16"/>
      <c r="MMD189" s="16"/>
      <c r="MME189" s="16"/>
      <c r="MMF189" s="16"/>
      <c r="MMG189" s="16"/>
      <c r="MMH189" s="16"/>
      <c r="MMI189" s="16"/>
      <c r="MMJ189" s="16"/>
      <c r="MMK189" s="16"/>
      <c r="MML189" s="16"/>
      <c r="MMM189" s="16"/>
      <c r="MMN189" s="16"/>
      <c r="MMO189" s="16"/>
      <c r="MMP189" s="16"/>
      <c r="MMQ189" s="16"/>
      <c r="MMR189" s="16"/>
      <c r="MMS189" s="16"/>
      <c r="MMT189" s="16"/>
      <c r="MMU189" s="16"/>
      <c r="MMV189" s="16"/>
      <c r="MMW189" s="16"/>
      <c r="MMX189" s="16"/>
      <c r="MMY189" s="16"/>
      <c r="MMZ189" s="16"/>
      <c r="MNA189" s="16"/>
      <c r="MNB189" s="16"/>
      <c r="MNC189" s="16"/>
      <c r="MND189" s="16"/>
      <c r="MNE189" s="16"/>
      <c r="MNF189" s="16"/>
      <c r="MNG189" s="16"/>
      <c r="MNH189" s="16"/>
      <c r="MNI189" s="16"/>
      <c r="MNJ189" s="16"/>
      <c r="MNK189" s="16"/>
      <c r="MNL189" s="16"/>
      <c r="MNM189" s="16"/>
      <c r="MNN189" s="16"/>
      <c r="MNO189" s="16"/>
      <c r="MNP189" s="16"/>
      <c r="MNQ189" s="16"/>
      <c r="MNR189" s="16"/>
      <c r="MNS189" s="16"/>
      <c r="MNT189" s="16"/>
      <c r="MNU189" s="16"/>
      <c r="MNV189" s="16"/>
      <c r="MNW189" s="16"/>
      <c r="MNX189" s="16"/>
      <c r="MNY189" s="16"/>
      <c r="MNZ189" s="16"/>
      <c r="MOA189" s="16"/>
      <c r="MOB189" s="16"/>
      <c r="MOC189" s="16"/>
      <c r="MOD189" s="16"/>
      <c r="MOE189" s="16"/>
      <c r="MOF189" s="16"/>
      <c r="MOG189" s="16"/>
      <c r="MOH189" s="16"/>
      <c r="MOI189" s="16"/>
      <c r="MOJ189" s="16"/>
      <c r="MOK189" s="16"/>
      <c r="MOL189" s="16"/>
      <c r="MOM189" s="16"/>
      <c r="MON189" s="16"/>
      <c r="MOO189" s="16"/>
      <c r="MOP189" s="16"/>
      <c r="MOQ189" s="16"/>
      <c r="MOR189" s="16"/>
      <c r="MOS189" s="16"/>
      <c r="MOT189" s="16"/>
      <c r="MOU189" s="16"/>
      <c r="MOV189" s="16"/>
      <c r="MOW189" s="16"/>
      <c r="MOX189" s="16"/>
      <c r="MOY189" s="16"/>
      <c r="MOZ189" s="16"/>
      <c r="MPA189" s="16"/>
      <c r="MPB189" s="16"/>
      <c r="MPC189" s="16"/>
      <c r="MPD189" s="16"/>
      <c r="MPE189" s="16"/>
      <c r="MPF189" s="16"/>
      <c r="MPG189" s="16"/>
      <c r="MPH189" s="16"/>
      <c r="MPI189" s="16"/>
      <c r="MPJ189" s="16"/>
      <c r="MPK189" s="16"/>
      <c r="MPL189" s="16"/>
      <c r="MPM189" s="16"/>
      <c r="MPN189" s="16"/>
      <c r="MPO189" s="16"/>
      <c r="MPP189" s="16"/>
      <c r="MPQ189" s="16"/>
      <c r="MPR189" s="16"/>
      <c r="MPS189" s="16"/>
      <c r="MPT189" s="16"/>
      <c r="MPU189" s="16"/>
      <c r="MPV189" s="16"/>
      <c r="MPW189" s="16"/>
      <c r="MPX189" s="16"/>
      <c r="MPY189" s="16"/>
      <c r="MPZ189" s="16"/>
      <c r="MQA189" s="16"/>
      <c r="MQB189" s="16"/>
      <c r="MQC189" s="16"/>
      <c r="MQD189" s="16"/>
      <c r="MQE189" s="16"/>
      <c r="MQF189" s="16"/>
      <c r="MQG189" s="16"/>
      <c r="MQH189" s="16"/>
      <c r="MQI189" s="16"/>
      <c r="MQJ189" s="16"/>
      <c r="MQK189" s="16"/>
      <c r="MQL189" s="16"/>
      <c r="MQM189" s="16"/>
      <c r="MQN189" s="16"/>
      <c r="MQO189" s="16"/>
      <c r="MQP189" s="16"/>
      <c r="MQQ189" s="16"/>
      <c r="MQR189" s="16"/>
      <c r="MQS189" s="16"/>
      <c r="MQT189" s="16"/>
      <c r="MQU189" s="16"/>
      <c r="MQV189" s="16"/>
      <c r="MQW189" s="16"/>
      <c r="MQX189" s="16"/>
      <c r="MQY189" s="16"/>
      <c r="MQZ189" s="16"/>
      <c r="MRA189" s="16"/>
      <c r="MRB189" s="16"/>
      <c r="MRC189" s="16"/>
      <c r="MRD189" s="16"/>
      <c r="MRE189" s="16"/>
      <c r="MRF189" s="16"/>
      <c r="MRG189" s="16"/>
      <c r="MRH189" s="16"/>
      <c r="MRI189" s="16"/>
      <c r="MRJ189" s="16"/>
      <c r="MRK189" s="16"/>
      <c r="MRL189" s="16"/>
      <c r="MRM189" s="16"/>
      <c r="MRN189" s="16"/>
      <c r="MRO189" s="16"/>
      <c r="MRP189" s="16"/>
      <c r="MRQ189" s="16"/>
      <c r="MRR189" s="16"/>
      <c r="MRS189" s="16"/>
      <c r="MRT189" s="16"/>
      <c r="MRU189" s="16"/>
      <c r="MRV189" s="16"/>
      <c r="MRW189" s="16"/>
      <c r="MRX189" s="16"/>
      <c r="MRY189" s="16"/>
      <c r="MRZ189" s="16"/>
      <c r="MSA189" s="16"/>
      <c r="MSB189" s="16"/>
      <c r="MSC189" s="16"/>
      <c r="MSD189" s="16"/>
      <c r="MSE189" s="16"/>
      <c r="MSF189" s="16"/>
      <c r="MSG189" s="16"/>
      <c r="MSH189" s="16"/>
      <c r="MSI189" s="16"/>
      <c r="MSJ189" s="16"/>
      <c r="MSK189" s="16"/>
      <c r="MSL189" s="16"/>
      <c r="MSM189" s="16"/>
      <c r="MSN189" s="16"/>
      <c r="MSO189" s="16"/>
      <c r="MSP189" s="16"/>
      <c r="MSQ189" s="16"/>
      <c r="MSR189" s="16"/>
      <c r="MSS189" s="16"/>
      <c r="MST189" s="16"/>
      <c r="MSU189" s="16"/>
      <c r="MSV189" s="16"/>
      <c r="MSW189" s="16"/>
      <c r="MSX189" s="16"/>
      <c r="MSY189" s="16"/>
      <c r="MSZ189" s="16"/>
      <c r="MTA189" s="16"/>
      <c r="MTB189" s="16"/>
      <c r="MTC189" s="16"/>
      <c r="MTD189" s="16"/>
      <c r="MTE189" s="16"/>
      <c r="MTF189" s="16"/>
      <c r="MTG189" s="16"/>
      <c r="MTH189" s="16"/>
      <c r="MTI189" s="16"/>
      <c r="MTJ189" s="16"/>
      <c r="MTK189" s="16"/>
      <c r="MTL189" s="16"/>
      <c r="MTM189" s="16"/>
      <c r="MTN189" s="16"/>
      <c r="MTO189" s="16"/>
      <c r="MTP189" s="16"/>
      <c r="MTQ189" s="16"/>
      <c r="MTR189" s="16"/>
      <c r="MTS189" s="16"/>
      <c r="MTT189" s="16"/>
      <c r="MTU189" s="16"/>
      <c r="MTV189" s="16"/>
      <c r="MTW189" s="16"/>
      <c r="MTX189" s="16"/>
      <c r="MTY189" s="16"/>
      <c r="MTZ189" s="16"/>
      <c r="MUA189" s="16"/>
      <c r="MUB189" s="16"/>
      <c r="MUC189" s="16"/>
      <c r="MUD189" s="16"/>
      <c r="MUE189" s="16"/>
      <c r="MUF189" s="16"/>
      <c r="MUG189" s="16"/>
      <c r="MUH189" s="16"/>
      <c r="MUI189" s="16"/>
      <c r="MUJ189" s="16"/>
      <c r="MUK189" s="16"/>
      <c r="MUL189" s="16"/>
      <c r="MUM189" s="16"/>
      <c r="MUN189" s="16"/>
      <c r="MUO189" s="16"/>
      <c r="MUP189" s="16"/>
      <c r="MUQ189" s="16"/>
      <c r="MUR189" s="16"/>
      <c r="MUS189" s="16"/>
      <c r="MUT189" s="16"/>
      <c r="MUU189" s="16"/>
      <c r="MUV189" s="16"/>
      <c r="MUW189" s="16"/>
      <c r="MUX189" s="16"/>
      <c r="MUY189" s="16"/>
      <c r="MUZ189" s="16"/>
      <c r="MVA189" s="16"/>
      <c r="MVB189" s="16"/>
      <c r="MVC189" s="16"/>
      <c r="MVD189" s="16"/>
      <c r="MVE189" s="16"/>
      <c r="MVF189" s="16"/>
      <c r="MVG189" s="16"/>
      <c r="MVH189" s="16"/>
      <c r="MVI189" s="16"/>
      <c r="MVJ189" s="16"/>
      <c r="MVK189" s="16"/>
      <c r="MVL189" s="16"/>
      <c r="MVM189" s="16"/>
      <c r="MVN189" s="16"/>
      <c r="MVO189" s="16"/>
      <c r="MVP189" s="16"/>
      <c r="MVQ189" s="16"/>
      <c r="MVR189" s="16"/>
      <c r="MVS189" s="16"/>
      <c r="MVT189" s="16"/>
      <c r="MVU189" s="16"/>
      <c r="MVV189" s="16"/>
      <c r="MVW189" s="16"/>
      <c r="MVX189" s="16"/>
      <c r="MVY189" s="16"/>
      <c r="MVZ189" s="16"/>
      <c r="MWA189" s="16"/>
      <c r="MWB189" s="16"/>
      <c r="MWC189" s="16"/>
      <c r="MWD189" s="16"/>
      <c r="MWE189" s="16"/>
      <c r="MWF189" s="16"/>
      <c r="MWG189" s="16"/>
      <c r="MWH189" s="16"/>
      <c r="MWI189" s="16"/>
      <c r="MWJ189" s="16"/>
      <c r="MWK189" s="16"/>
      <c r="MWL189" s="16"/>
      <c r="MWM189" s="16"/>
      <c r="MWN189" s="16"/>
      <c r="MWO189" s="16"/>
      <c r="MWP189" s="16"/>
      <c r="MWQ189" s="16"/>
      <c r="MWR189" s="16"/>
      <c r="MWS189" s="16"/>
      <c r="MWT189" s="16"/>
      <c r="MWU189" s="16"/>
      <c r="MWV189" s="16"/>
      <c r="MWW189" s="16"/>
      <c r="MWX189" s="16"/>
      <c r="MWY189" s="16"/>
      <c r="MWZ189" s="16"/>
      <c r="MXA189" s="16"/>
      <c r="MXB189" s="16"/>
      <c r="MXC189" s="16"/>
      <c r="MXD189" s="16"/>
      <c r="MXE189" s="16"/>
      <c r="MXF189" s="16"/>
      <c r="MXG189" s="16"/>
      <c r="MXH189" s="16"/>
      <c r="MXI189" s="16"/>
      <c r="MXJ189" s="16"/>
      <c r="MXK189" s="16"/>
      <c r="MXL189" s="16"/>
      <c r="MXM189" s="16"/>
      <c r="MXN189" s="16"/>
      <c r="MXO189" s="16"/>
      <c r="MXP189" s="16"/>
      <c r="MXQ189" s="16"/>
      <c r="MXR189" s="16"/>
      <c r="MXS189" s="16"/>
      <c r="MXT189" s="16"/>
      <c r="MXU189" s="16"/>
      <c r="MXV189" s="16"/>
      <c r="MXW189" s="16"/>
      <c r="MXX189" s="16"/>
      <c r="MXY189" s="16"/>
      <c r="MXZ189" s="16"/>
      <c r="MYA189" s="16"/>
      <c r="MYB189" s="16"/>
      <c r="MYC189" s="16"/>
      <c r="MYD189" s="16"/>
      <c r="MYE189" s="16"/>
      <c r="MYF189" s="16"/>
      <c r="MYG189" s="16"/>
      <c r="MYH189" s="16"/>
      <c r="MYI189" s="16"/>
      <c r="MYJ189" s="16"/>
      <c r="MYK189" s="16"/>
      <c r="MYL189" s="16"/>
      <c r="MYM189" s="16"/>
      <c r="MYN189" s="16"/>
      <c r="MYO189" s="16"/>
      <c r="MYP189" s="16"/>
      <c r="MYQ189" s="16"/>
      <c r="MYR189" s="16"/>
      <c r="MYS189" s="16"/>
      <c r="MYT189" s="16"/>
      <c r="MYU189" s="16"/>
      <c r="MYV189" s="16"/>
      <c r="MYW189" s="16"/>
      <c r="MYX189" s="16"/>
      <c r="MYY189" s="16"/>
      <c r="MYZ189" s="16"/>
      <c r="MZA189" s="16"/>
      <c r="MZB189" s="16"/>
      <c r="MZC189" s="16"/>
      <c r="MZD189" s="16"/>
      <c r="MZE189" s="16"/>
      <c r="MZF189" s="16"/>
      <c r="MZG189" s="16"/>
      <c r="MZH189" s="16"/>
      <c r="MZI189" s="16"/>
      <c r="MZJ189" s="16"/>
      <c r="MZK189" s="16"/>
      <c r="MZL189" s="16"/>
      <c r="MZM189" s="16"/>
      <c r="MZN189" s="16"/>
      <c r="MZO189" s="16"/>
      <c r="MZP189" s="16"/>
      <c r="MZQ189" s="16"/>
      <c r="MZR189" s="16"/>
      <c r="MZS189" s="16"/>
      <c r="MZT189" s="16"/>
      <c r="MZU189" s="16"/>
      <c r="MZV189" s="16"/>
      <c r="MZW189" s="16"/>
      <c r="MZX189" s="16"/>
      <c r="MZY189" s="16"/>
      <c r="MZZ189" s="16"/>
      <c r="NAA189" s="16"/>
      <c r="NAB189" s="16"/>
      <c r="NAC189" s="16"/>
      <c r="NAD189" s="16"/>
      <c r="NAE189" s="16"/>
      <c r="NAF189" s="16"/>
      <c r="NAG189" s="16"/>
      <c r="NAH189" s="16"/>
      <c r="NAI189" s="16"/>
      <c r="NAJ189" s="16"/>
      <c r="NAK189" s="16"/>
      <c r="NAL189" s="16"/>
      <c r="NAM189" s="16"/>
      <c r="NAN189" s="16"/>
      <c r="NAO189" s="16"/>
      <c r="NAP189" s="16"/>
      <c r="NAQ189" s="16"/>
      <c r="NAR189" s="16"/>
      <c r="NAS189" s="16"/>
      <c r="NAT189" s="16"/>
      <c r="NAU189" s="16"/>
      <c r="NAV189" s="16"/>
      <c r="NAW189" s="16"/>
      <c r="NAX189" s="16"/>
      <c r="NAY189" s="16"/>
      <c r="NAZ189" s="16"/>
      <c r="NBA189" s="16"/>
      <c r="NBB189" s="16"/>
      <c r="NBC189" s="16"/>
      <c r="NBD189" s="16"/>
      <c r="NBE189" s="16"/>
      <c r="NBF189" s="16"/>
      <c r="NBG189" s="16"/>
      <c r="NBH189" s="16"/>
      <c r="NBI189" s="16"/>
      <c r="NBJ189" s="16"/>
      <c r="NBK189" s="16"/>
      <c r="NBL189" s="16"/>
      <c r="NBM189" s="16"/>
      <c r="NBN189" s="16"/>
      <c r="NBO189" s="16"/>
      <c r="NBP189" s="16"/>
      <c r="NBQ189" s="16"/>
      <c r="NBR189" s="16"/>
      <c r="NBS189" s="16"/>
      <c r="NBT189" s="16"/>
      <c r="NBU189" s="16"/>
      <c r="NBV189" s="16"/>
      <c r="NBW189" s="16"/>
      <c r="NBX189" s="16"/>
      <c r="NBY189" s="16"/>
      <c r="NBZ189" s="16"/>
      <c r="NCA189" s="16"/>
      <c r="NCB189" s="16"/>
      <c r="NCC189" s="16"/>
      <c r="NCD189" s="16"/>
      <c r="NCE189" s="16"/>
      <c r="NCF189" s="16"/>
      <c r="NCG189" s="16"/>
      <c r="NCH189" s="16"/>
      <c r="NCI189" s="16"/>
      <c r="NCJ189" s="16"/>
      <c r="NCK189" s="16"/>
      <c r="NCL189" s="16"/>
      <c r="NCM189" s="16"/>
      <c r="NCN189" s="16"/>
      <c r="NCO189" s="16"/>
      <c r="NCP189" s="16"/>
      <c r="NCQ189" s="16"/>
      <c r="NCR189" s="16"/>
      <c r="NCS189" s="16"/>
      <c r="NCT189" s="16"/>
      <c r="NCU189" s="16"/>
      <c r="NCV189" s="16"/>
      <c r="NCW189" s="16"/>
      <c r="NCX189" s="16"/>
      <c r="NCY189" s="16"/>
      <c r="NCZ189" s="16"/>
      <c r="NDA189" s="16"/>
      <c r="NDB189" s="16"/>
      <c r="NDC189" s="16"/>
      <c r="NDD189" s="16"/>
      <c r="NDE189" s="16"/>
      <c r="NDF189" s="16"/>
      <c r="NDG189" s="16"/>
      <c r="NDH189" s="16"/>
      <c r="NDI189" s="16"/>
      <c r="NDJ189" s="16"/>
      <c r="NDK189" s="16"/>
      <c r="NDL189" s="16"/>
      <c r="NDM189" s="16"/>
      <c r="NDN189" s="16"/>
      <c r="NDO189" s="16"/>
      <c r="NDP189" s="16"/>
      <c r="NDQ189" s="16"/>
      <c r="NDR189" s="16"/>
      <c r="NDS189" s="16"/>
      <c r="NDT189" s="16"/>
      <c r="NDU189" s="16"/>
      <c r="NDV189" s="16"/>
      <c r="NDW189" s="16"/>
      <c r="NDX189" s="16"/>
      <c r="NDY189" s="16"/>
      <c r="NDZ189" s="16"/>
      <c r="NEA189" s="16"/>
      <c r="NEB189" s="16"/>
      <c r="NEC189" s="16"/>
      <c r="NED189" s="16"/>
      <c r="NEE189" s="16"/>
      <c r="NEF189" s="16"/>
      <c r="NEG189" s="16"/>
      <c r="NEH189" s="16"/>
      <c r="NEI189" s="16"/>
      <c r="NEJ189" s="16"/>
      <c r="NEK189" s="16"/>
      <c r="NEL189" s="16"/>
      <c r="NEM189" s="16"/>
      <c r="NEN189" s="16"/>
      <c r="NEO189" s="16"/>
      <c r="NEP189" s="16"/>
      <c r="NEQ189" s="16"/>
      <c r="NER189" s="16"/>
      <c r="NES189" s="16"/>
      <c r="NET189" s="16"/>
      <c r="NEU189" s="16"/>
      <c r="NEV189" s="16"/>
      <c r="NEW189" s="16"/>
      <c r="NEX189" s="16"/>
      <c r="NEY189" s="16"/>
      <c r="NEZ189" s="16"/>
      <c r="NFA189" s="16"/>
      <c r="NFB189" s="16"/>
      <c r="NFC189" s="16"/>
      <c r="NFD189" s="16"/>
      <c r="NFE189" s="16"/>
      <c r="NFF189" s="16"/>
      <c r="NFG189" s="16"/>
      <c r="NFH189" s="16"/>
      <c r="NFI189" s="16"/>
      <c r="NFJ189" s="16"/>
      <c r="NFK189" s="16"/>
      <c r="NFL189" s="16"/>
      <c r="NFM189" s="16"/>
      <c r="NFN189" s="16"/>
      <c r="NFO189" s="16"/>
      <c r="NFP189" s="16"/>
      <c r="NFQ189" s="16"/>
      <c r="NFR189" s="16"/>
      <c r="NFS189" s="16"/>
      <c r="NFT189" s="16"/>
      <c r="NFU189" s="16"/>
      <c r="NFV189" s="16"/>
      <c r="NFW189" s="16"/>
      <c r="NFX189" s="16"/>
      <c r="NFY189" s="16"/>
      <c r="NFZ189" s="16"/>
      <c r="NGA189" s="16"/>
      <c r="NGB189" s="16"/>
      <c r="NGC189" s="16"/>
      <c r="NGD189" s="16"/>
      <c r="NGE189" s="16"/>
      <c r="NGF189" s="16"/>
      <c r="NGG189" s="16"/>
      <c r="NGH189" s="16"/>
      <c r="NGI189" s="16"/>
      <c r="NGJ189" s="16"/>
      <c r="NGK189" s="16"/>
      <c r="NGL189" s="16"/>
      <c r="NGM189" s="16"/>
      <c r="NGN189" s="16"/>
      <c r="NGO189" s="16"/>
      <c r="NGP189" s="16"/>
      <c r="NGQ189" s="16"/>
      <c r="NGR189" s="16"/>
      <c r="NGS189" s="16"/>
      <c r="NGT189" s="16"/>
      <c r="NGU189" s="16"/>
      <c r="NGV189" s="16"/>
      <c r="NGW189" s="16"/>
      <c r="NGX189" s="16"/>
      <c r="NGY189" s="16"/>
      <c r="NGZ189" s="16"/>
      <c r="NHA189" s="16"/>
      <c r="NHB189" s="16"/>
      <c r="NHC189" s="16"/>
      <c r="NHD189" s="16"/>
      <c r="NHE189" s="16"/>
      <c r="NHF189" s="16"/>
      <c r="NHG189" s="16"/>
      <c r="NHH189" s="16"/>
      <c r="NHI189" s="16"/>
      <c r="NHJ189" s="16"/>
      <c r="NHK189" s="16"/>
      <c r="NHL189" s="16"/>
      <c r="NHM189" s="16"/>
      <c r="NHN189" s="16"/>
      <c r="NHO189" s="16"/>
      <c r="NHP189" s="16"/>
      <c r="NHQ189" s="16"/>
      <c r="NHR189" s="16"/>
      <c r="NHS189" s="16"/>
      <c r="NHT189" s="16"/>
      <c r="NHU189" s="16"/>
      <c r="NHV189" s="16"/>
      <c r="NHW189" s="16"/>
      <c r="NHX189" s="16"/>
      <c r="NHY189" s="16"/>
      <c r="NHZ189" s="16"/>
      <c r="NIA189" s="16"/>
      <c r="NIB189" s="16"/>
      <c r="NIC189" s="16"/>
      <c r="NID189" s="16"/>
      <c r="NIE189" s="16"/>
      <c r="NIF189" s="16"/>
      <c r="NIG189" s="16"/>
      <c r="NIH189" s="16"/>
      <c r="NII189" s="16"/>
      <c r="NIJ189" s="16"/>
      <c r="NIK189" s="16"/>
      <c r="NIL189" s="16"/>
      <c r="NIM189" s="16"/>
      <c r="NIN189" s="16"/>
      <c r="NIO189" s="16"/>
      <c r="NIP189" s="16"/>
      <c r="NIQ189" s="16"/>
      <c r="NIR189" s="16"/>
      <c r="NIS189" s="16"/>
      <c r="NIT189" s="16"/>
      <c r="NIU189" s="16"/>
      <c r="NIV189" s="16"/>
      <c r="NIW189" s="16"/>
      <c r="NIX189" s="16"/>
      <c r="NIY189" s="16"/>
      <c r="NIZ189" s="16"/>
      <c r="NJA189" s="16"/>
      <c r="NJB189" s="16"/>
      <c r="NJC189" s="16"/>
      <c r="NJD189" s="16"/>
      <c r="NJE189" s="16"/>
      <c r="NJF189" s="16"/>
      <c r="NJG189" s="16"/>
      <c r="NJH189" s="16"/>
      <c r="NJI189" s="16"/>
      <c r="NJJ189" s="16"/>
      <c r="NJK189" s="16"/>
      <c r="NJL189" s="16"/>
      <c r="NJM189" s="16"/>
      <c r="NJN189" s="16"/>
      <c r="NJO189" s="16"/>
      <c r="NJP189" s="16"/>
      <c r="NJQ189" s="16"/>
      <c r="NJR189" s="16"/>
      <c r="NJS189" s="16"/>
      <c r="NJT189" s="16"/>
      <c r="NJU189" s="16"/>
      <c r="NJV189" s="16"/>
      <c r="NJW189" s="16"/>
      <c r="NJX189" s="16"/>
      <c r="NJY189" s="16"/>
      <c r="NJZ189" s="16"/>
      <c r="NKA189" s="16"/>
      <c r="NKB189" s="16"/>
      <c r="NKC189" s="16"/>
      <c r="NKD189" s="16"/>
      <c r="NKE189" s="16"/>
      <c r="NKF189" s="16"/>
      <c r="NKG189" s="16"/>
      <c r="NKH189" s="16"/>
      <c r="NKI189" s="16"/>
      <c r="NKJ189" s="16"/>
      <c r="NKK189" s="16"/>
      <c r="NKL189" s="16"/>
      <c r="NKM189" s="16"/>
      <c r="NKN189" s="16"/>
      <c r="NKO189" s="16"/>
      <c r="NKP189" s="16"/>
      <c r="NKQ189" s="16"/>
      <c r="NKR189" s="16"/>
      <c r="NKS189" s="16"/>
      <c r="NKT189" s="16"/>
      <c r="NKU189" s="16"/>
      <c r="NKV189" s="16"/>
      <c r="NKW189" s="16"/>
      <c r="NKX189" s="16"/>
      <c r="NKY189" s="16"/>
      <c r="NKZ189" s="16"/>
      <c r="NLA189" s="16"/>
      <c r="NLB189" s="16"/>
      <c r="NLC189" s="16"/>
      <c r="NLD189" s="16"/>
      <c r="NLE189" s="16"/>
      <c r="NLF189" s="16"/>
      <c r="NLG189" s="16"/>
      <c r="NLH189" s="16"/>
      <c r="NLI189" s="16"/>
      <c r="NLJ189" s="16"/>
      <c r="NLK189" s="16"/>
      <c r="NLL189" s="16"/>
      <c r="NLM189" s="16"/>
      <c r="NLN189" s="16"/>
      <c r="NLO189" s="16"/>
      <c r="NLP189" s="16"/>
      <c r="NLQ189" s="16"/>
      <c r="NLR189" s="16"/>
      <c r="NLS189" s="16"/>
      <c r="NLT189" s="16"/>
      <c r="NLU189" s="16"/>
      <c r="NLV189" s="16"/>
      <c r="NLW189" s="16"/>
      <c r="NLX189" s="16"/>
      <c r="NLY189" s="16"/>
      <c r="NLZ189" s="16"/>
      <c r="NMA189" s="16"/>
      <c r="NMB189" s="16"/>
      <c r="NMC189" s="16"/>
      <c r="NMD189" s="16"/>
      <c r="NME189" s="16"/>
      <c r="NMF189" s="16"/>
      <c r="NMG189" s="16"/>
      <c r="NMH189" s="16"/>
      <c r="NMI189" s="16"/>
      <c r="NMJ189" s="16"/>
      <c r="NMK189" s="16"/>
      <c r="NML189" s="16"/>
      <c r="NMM189" s="16"/>
      <c r="NMN189" s="16"/>
      <c r="NMO189" s="16"/>
      <c r="NMP189" s="16"/>
      <c r="NMQ189" s="16"/>
      <c r="NMR189" s="16"/>
      <c r="NMS189" s="16"/>
      <c r="NMT189" s="16"/>
      <c r="NMU189" s="16"/>
      <c r="NMV189" s="16"/>
      <c r="NMW189" s="16"/>
      <c r="NMX189" s="16"/>
      <c r="NMY189" s="16"/>
      <c r="NMZ189" s="16"/>
      <c r="NNA189" s="16"/>
      <c r="NNB189" s="16"/>
      <c r="NNC189" s="16"/>
      <c r="NND189" s="16"/>
      <c r="NNE189" s="16"/>
      <c r="NNF189" s="16"/>
      <c r="NNG189" s="16"/>
      <c r="NNH189" s="16"/>
      <c r="NNI189" s="16"/>
      <c r="NNJ189" s="16"/>
      <c r="NNK189" s="16"/>
      <c r="NNL189" s="16"/>
      <c r="NNM189" s="16"/>
      <c r="NNN189" s="16"/>
      <c r="NNO189" s="16"/>
      <c r="NNP189" s="16"/>
      <c r="NNQ189" s="16"/>
      <c r="NNR189" s="16"/>
      <c r="NNS189" s="16"/>
      <c r="NNT189" s="16"/>
      <c r="NNU189" s="16"/>
      <c r="NNV189" s="16"/>
      <c r="NNW189" s="16"/>
      <c r="NNX189" s="16"/>
      <c r="NNY189" s="16"/>
      <c r="NNZ189" s="16"/>
      <c r="NOA189" s="16"/>
      <c r="NOB189" s="16"/>
      <c r="NOC189" s="16"/>
      <c r="NOD189" s="16"/>
      <c r="NOE189" s="16"/>
      <c r="NOF189" s="16"/>
      <c r="NOG189" s="16"/>
      <c r="NOH189" s="16"/>
      <c r="NOI189" s="16"/>
      <c r="NOJ189" s="16"/>
      <c r="NOK189" s="16"/>
      <c r="NOL189" s="16"/>
      <c r="NOM189" s="16"/>
      <c r="NON189" s="16"/>
      <c r="NOO189" s="16"/>
      <c r="NOP189" s="16"/>
      <c r="NOQ189" s="16"/>
      <c r="NOR189" s="16"/>
      <c r="NOS189" s="16"/>
      <c r="NOT189" s="16"/>
      <c r="NOU189" s="16"/>
      <c r="NOV189" s="16"/>
      <c r="NOW189" s="16"/>
      <c r="NOX189" s="16"/>
      <c r="NOY189" s="16"/>
      <c r="NOZ189" s="16"/>
      <c r="NPA189" s="16"/>
      <c r="NPB189" s="16"/>
      <c r="NPC189" s="16"/>
      <c r="NPD189" s="16"/>
      <c r="NPE189" s="16"/>
      <c r="NPF189" s="16"/>
      <c r="NPG189" s="16"/>
      <c r="NPH189" s="16"/>
      <c r="NPI189" s="16"/>
      <c r="NPJ189" s="16"/>
      <c r="NPK189" s="16"/>
      <c r="NPL189" s="16"/>
      <c r="NPM189" s="16"/>
      <c r="NPN189" s="16"/>
      <c r="NPO189" s="16"/>
      <c r="NPP189" s="16"/>
      <c r="NPQ189" s="16"/>
      <c r="NPR189" s="16"/>
      <c r="NPS189" s="16"/>
      <c r="NPT189" s="16"/>
      <c r="NPU189" s="16"/>
      <c r="NPV189" s="16"/>
      <c r="NPW189" s="16"/>
      <c r="NPX189" s="16"/>
      <c r="NPY189" s="16"/>
      <c r="NPZ189" s="16"/>
      <c r="NQA189" s="16"/>
      <c r="NQB189" s="16"/>
      <c r="NQC189" s="16"/>
      <c r="NQD189" s="16"/>
      <c r="NQE189" s="16"/>
      <c r="NQF189" s="16"/>
      <c r="NQG189" s="16"/>
      <c r="NQH189" s="16"/>
      <c r="NQI189" s="16"/>
      <c r="NQJ189" s="16"/>
      <c r="NQK189" s="16"/>
      <c r="NQL189" s="16"/>
      <c r="NQM189" s="16"/>
      <c r="NQN189" s="16"/>
      <c r="NQO189" s="16"/>
      <c r="NQP189" s="16"/>
      <c r="NQQ189" s="16"/>
      <c r="NQR189" s="16"/>
      <c r="NQS189" s="16"/>
      <c r="NQT189" s="16"/>
      <c r="NQU189" s="16"/>
      <c r="NQV189" s="16"/>
      <c r="NQW189" s="16"/>
      <c r="NQX189" s="16"/>
      <c r="NQY189" s="16"/>
      <c r="NQZ189" s="16"/>
      <c r="NRA189" s="16"/>
      <c r="NRB189" s="16"/>
      <c r="NRC189" s="16"/>
      <c r="NRD189" s="16"/>
      <c r="NRE189" s="16"/>
      <c r="NRF189" s="16"/>
      <c r="NRG189" s="16"/>
      <c r="NRH189" s="16"/>
      <c r="NRI189" s="16"/>
      <c r="NRJ189" s="16"/>
      <c r="NRK189" s="16"/>
      <c r="NRL189" s="16"/>
      <c r="NRM189" s="16"/>
      <c r="NRN189" s="16"/>
      <c r="NRO189" s="16"/>
      <c r="NRP189" s="16"/>
      <c r="NRQ189" s="16"/>
      <c r="NRR189" s="16"/>
      <c r="NRS189" s="16"/>
      <c r="NRT189" s="16"/>
      <c r="NRU189" s="16"/>
      <c r="NRV189" s="16"/>
      <c r="NRW189" s="16"/>
      <c r="NRX189" s="16"/>
      <c r="NRY189" s="16"/>
      <c r="NRZ189" s="16"/>
      <c r="NSA189" s="16"/>
      <c r="NSB189" s="16"/>
      <c r="NSC189" s="16"/>
      <c r="NSD189" s="16"/>
      <c r="NSE189" s="16"/>
      <c r="NSF189" s="16"/>
      <c r="NSG189" s="16"/>
      <c r="NSH189" s="16"/>
      <c r="NSI189" s="16"/>
      <c r="NSJ189" s="16"/>
      <c r="NSK189" s="16"/>
      <c r="NSL189" s="16"/>
      <c r="NSM189" s="16"/>
      <c r="NSN189" s="16"/>
      <c r="NSO189" s="16"/>
      <c r="NSP189" s="16"/>
      <c r="NSQ189" s="16"/>
      <c r="NSR189" s="16"/>
      <c r="NSS189" s="16"/>
      <c r="NST189" s="16"/>
      <c r="NSU189" s="16"/>
      <c r="NSV189" s="16"/>
      <c r="NSW189" s="16"/>
      <c r="NSX189" s="16"/>
      <c r="NSY189" s="16"/>
      <c r="NSZ189" s="16"/>
      <c r="NTA189" s="16"/>
      <c r="NTB189" s="16"/>
      <c r="NTC189" s="16"/>
      <c r="NTD189" s="16"/>
      <c r="NTE189" s="16"/>
      <c r="NTF189" s="16"/>
      <c r="NTG189" s="16"/>
      <c r="NTH189" s="16"/>
      <c r="NTI189" s="16"/>
      <c r="NTJ189" s="16"/>
      <c r="NTK189" s="16"/>
      <c r="NTL189" s="16"/>
      <c r="NTM189" s="16"/>
      <c r="NTN189" s="16"/>
      <c r="NTO189" s="16"/>
      <c r="NTP189" s="16"/>
      <c r="NTQ189" s="16"/>
      <c r="NTR189" s="16"/>
      <c r="NTS189" s="16"/>
      <c r="NTT189" s="16"/>
      <c r="NTU189" s="16"/>
      <c r="NTV189" s="16"/>
      <c r="NTW189" s="16"/>
      <c r="NTX189" s="16"/>
      <c r="NTY189" s="16"/>
      <c r="NTZ189" s="16"/>
      <c r="NUA189" s="16"/>
      <c r="NUB189" s="16"/>
      <c r="NUC189" s="16"/>
      <c r="NUD189" s="16"/>
      <c r="NUE189" s="16"/>
      <c r="NUF189" s="16"/>
      <c r="NUG189" s="16"/>
      <c r="NUH189" s="16"/>
      <c r="NUI189" s="16"/>
      <c r="NUJ189" s="16"/>
      <c r="NUK189" s="16"/>
      <c r="NUL189" s="16"/>
      <c r="NUM189" s="16"/>
      <c r="NUN189" s="16"/>
      <c r="NUO189" s="16"/>
      <c r="NUP189" s="16"/>
      <c r="NUQ189" s="16"/>
      <c r="NUR189" s="16"/>
      <c r="NUS189" s="16"/>
      <c r="NUT189" s="16"/>
      <c r="NUU189" s="16"/>
      <c r="NUV189" s="16"/>
      <c r="NUW189" s="16"/>
      <c r="NUX189" s="16"/>
      <c r="NUY189" s="16"/>
      <c r="NUZ189" s="16"/>
      <c r="NVA189" s="16"/>
      <c r="NVB189" s="16"/>
      <c r="NVC189" s="16"/>
      <c r="NVD189" s="16"/>
      <c r="NVE189" s="16"/>
      <c r="NVF189" s="16"/>
      <c r="NVG189" s="16"/>
      <c r="NVH189" s="16"/>
      <c r="NVI189" s="16"/>
      <c r="NVJ189" s="16"/>
      <c r="NVK189" s="16"/>
      <c r="NVL189" s="16"/>
      <c r="NVM189" s="16"/>
      <c r="NVN189" s="16"/>
      <c r="NVO189" s="16"/>
      <c r="NVP189" s="16"/>
      <c r="NVQ189" s="16"/>
      <c r="NVR189" s="16"/>
      <c r="NVS189" s="16"/>
      <c r="NVT189" s="16"/>
      <c r="NVU189" s="16"/>
      <c r="NVV189" s="16"/>
      <c r="NVW189" s="16"/>
      <c r="NVX189" s="16"/>
      <c r="NVY189" s="16"/>
      <c r="NVZ189" s="16"/>
      <c r="NWA189" s="16"/>
      <c r="NWB189" s="16"/>
      <c r="NWC189" s="16"/>
      <c r="NWD189" s="16"/>
      <c r="NWE189" s="16"/>
      <c r="NWF189" s="16"/>
      <c r="NWG189" s="16"/>
      <c r="NWH189" s="16"/>
      <c r="NWI189" s="16"/>
      <c r="NWJ189" s="16"/>
      <c r="NWK189" s="16"/>
      <c r="NWL189" s="16"/>
      <c r="NWM189" s="16"/>
      <c r="NWN189" s="16"/>
      <c r="NWO189" s="16"/>
      <c r="NWP189" s="16"/>
      <c r="NWQ189" s="16"/>
      <c r="NWR189" s="16"/>
      <c r="NWS189" s="16"/>
      <c r="NWT189" s="16"/>
      <c r="NWU189" s="16"/>
      <c r="NWV189" s="16"/>
      <c r="NWW189" s="16"/>
      <c r="NWX189" s="16"/>
      <c r="NWY189" s="16"/>
      <c r="NWZ189" s="16"/>
      <c r="NXA189" s="16"/>
      <c r="NXB189" s="16"/>
      <c r="NXC189" s="16"/>
      <c r="NXD189" s="16"/>
      <c r="NXE189" s="16"/>
      <c r="NXF189" s="16"/>
      <c r="NXG189" s="16"/>
      <c r="NXH189" s="16"/>
      <c r="NXI189" s="16"/>
      <c r="NXJ189" s="16"/>
      <c r="NXK189" s="16"/>
      <c r="NXL189" s="16"/>
      <c r="NXM189" s="16"/>
      <c r="NXN189" s="16"/>
      <c r="NXO189" s="16"/>
      <c r="NXP189" s="16"/>
      <c r="NXQ189" s="16"/>
      <c r="NXR189" s="16"/>
      <c r="NXS189" s="16"/>
      <c r="NXT189" s="16"/>
      <c r="NXU189" s="16"/>
      <c r="NXV189" s="16"/>
      <c r="NXW189" s="16"/>
      <c r="NXX189" s="16"/>
      <c r="NXY189" s="16"/>
      <c r="NXZ189" s="16"/>
      <c r="NYA189" s="16"/>
      <c r="NYB189" s="16"/>
      <c r="NYC189" s="16"/>
      <c r="NYD189" s="16"/>
      <c r="NYE189" s="16"/>
      <c r="NYF189" s="16"/>
      <c r="NYG189" s="16"/>
      <c r="NYH189" s="16"/>
      <c r="NYI189" s="16"/>
      <c r="NYJ189" s="16"/>
      <c r="NYK189" s="16"/>
      <c r="NYL189" s="16"/>
      <c r="NYM189" s="16"/>
      <c r="NYN189" s="16"/>
      <c r="NYO189" s="16"/>
      <c r="NYP189" s="16"/>
      <c r="NYQ189" s="16"/>
      <c r="NYR189" s="16"/>
      <c r="NYS189" s="16"/>
      <c r="NYT189" s="16"/>
      <c r="NYU189" s="16"/>
      <c r="NYV189" s="16"/>
      <c r="NYW189" s="16"/>
      <c r="NYX189" s="16"/>
      <c r="NYY189" s="16"/>
      <c r="NYZ189" s="16"/>
      <c r="NZA189" s="16"/>
      <c r="NZB189" s="16"/>
      <c r="NZC189" s="16"/>
      <c r="NZD189" s="16"/>
      <c r="NZE189" s="16"/>
      <c r="NZF189" s="16"/>
      <c r="NZG189" s="16"/>
      <c r="NZH189" s="16"/>
      <c r="NZI189" s="16"/>
      <c r="NZJ189" s="16"/>
      <c r="NZK189" s="16"/>
      <c r="NZL189" s="16"/>
      <c r="NZM189" s="16"/>
      <c r="NZN189" s="16"/>
      <c r="NZO189" s="16"/>
      <c r="NZP189" s="16"/>
      <c r="NZQ189" s="16"/>
      <c r="NZR189" s="16"/>
      <c r="NZS189" s="16"/>
      <c r="NZT189" s="16"/>
      <c r="NZU189" s="16"/>
      <c r="NZV189" s="16"/>
      <c r="NZW189" s="16"/>
      <c r="NZX189" s="16"/>
      <c r="NZY189" s="16"/>
      <c r="NZZ189" s="16"/>
      <c r="OAA189" s="16"/>
      <c r="OAB189" s="16"/>
      <c r="OAC189" s="16"/>
      <c r="OAD189" s="16"/>
      <c r="OAE189" s="16"/>
      <c r="OAF189" s="16"/>
      <c r="OAG189" s="16"/>
      <c r="OAH189" s="16"/>
      <c r="OAI189" s="16"/>
      <c r="OAJ189" s="16"/>
      <c r="OAK189" s="16"/>
      <c r="OAL189" s="16"/>
      <c r="OAM189" s="16"/>
      <c r="OAN189" s="16"/>
      <c r="OAO189" s="16"/>
      <c r="OAP189" s="16"/>
      <c r="OAQ189" s="16"/>
      <c r="OAR189" s="16"/>
      <c r="OAS189" s="16"/>
      <c r="OAT189" s="16"/>
      <c r="OAU189" s="16"/>
      <c r="OAV189" s="16"/>
      <c r="OAW189" s="16"/>
      <c r="OAX189" s="16"/>
      <c r="OAY189" s="16"/>
      <c r="OAZ189" s="16"/>
      <c r="OBA189" s="16"/>
      <c r="OBB189" s="16"/>
      <c r="OBC189" s="16"/>
      <c r="OBD189" s="16"/>
      <c r="OBE189" s="16"/>
      <c r="OBF189" s="16"/>
      <c r="OBG189" s="16"/>
      <c r="OBH189" s="16"/>
      <c r="OBI189" s="16"/>
      <c r="OBJ189" s="16"/>
      <c r="OBK189" s="16"/>
      <c r="OBL189" s="16"/>
      <c r="OBM189" s="16"/>
      <c r="OBN189" s="16"/>
      <c r="OBO189" s="16"/>
      <c r="OBP189" s="16"/>
      <c r="OBQ189" s="16"/>
      <c r="OBR189" s="16"/>
      <c r="OBS189" s="16"/>
      <c r="OBT189" s="16"/>
      <c r="OBU189" s="16"/>
      <c r="OBV189" s="16"/>
      <c r="OBW189" s="16"/>
      <c r="OBX189" s="16"/>
      <c r="OBY189" s="16"/>
      <c r="OBZ189" s="16"/>
      <c r="OCA189" s="16"/>
      <c r="OCB189" s="16"/>
      <c r="OCC189" s="16"/>
      <c r="OCD189" s="16"/>
      <c r="OCE189" s="16"/>
      <c r="OCF189" s="16"/>
      <c r="OCG189" s="16"/>
      <c r="OCH189" s="16"/>
      <c r="OCI189" s="16"/>
      <c r="OCJ189" s="16"/>
      <c r="OCK189" s="16"/>
      <c r="OCL189" s="16"/>
      <c r="OCM189" s="16"/>
      <c r="OCN189" s="16"/>
      <c r="OCO189" s="16"/>
      <c r="OCP189" s="16"/>
      <c r="OCQ189" s="16"/>
      <c r="OCR189" s="16"/>
      <c r="OCS189" s="16"/>
      <c r="OCT189" s="16"/>
      <c r="OCU189" s="16"/>
      <c r="OCV189" s="16"/>
      <c r="OCW189" s="16"/>
      <c r="OCX189" s="16"/>
      <c r="OCY189" s="16"/>
      <c r="OCZ189" s="16"/>
      <c r="ODA189" s="16"/>
      <c r="ODB189" s="16"/>
      <c r="ODC189" s="16"/>
      <c r="ODD189" s="16"/>
      <c r="ODE189" s="16"/>
      <c r="ODF189" s="16"/>
      <c r="ODG189" s="16"/>
      <c r="ODH189" s="16"/>
      <c r="ODI189" s="16"/>
      <c r="ODJ189" s="16"/>
      <c r="ODK189" s="16"/>
      <c r="ODL189" s="16"/>
      <c r="ODM189" s="16"/>
      <c r="ODN189" s="16"/>
      <c r="ODO189" s="16"/>
      <c r="ODP189" s="16"/>
      <c r="ODQ189" s="16"/>
      <c r="ODR189" s="16"/>
      <c r="ODS189" s="16"/>
      <c r="ODT189" s="16"/>
      <c r="ODU189" s="16"/>
      <c r="ODV189" s="16"/>
      <c r="ODW189" s="16"/>
      <c r="ODX189" s="16"/>
      <c r="ODY189" s="16"/>
      <c r="ODZ189" s="16"/>
      <c r="OEA189" s="16"/>
      <c r="OEB189" s="16"/>
      <c r="OEC189" s="16"/>
      <c r="OED189" s="16"/>
      <c r="OEE189" s="16"/>
      <c r="OEF189" s="16"/>
      <c r="OEG189" s="16"/>
      <c r="OEH189" s="16"/>
      <c r="OEI189" s="16"/>
      <c r="OEJ189" s="16"/>
      <c r="OEK189" s="16"/>
      <c r="OEL189" s="16"/>
      <c r="OEM189" s="16"/>
      <c r="OEN189" s="16"/>
      <c r="OEO189" s="16"/>
      <c r="OEP189" s="16"/>
      <c r="OEQ189" s="16"/>
      <c r="OER189" s="16"/>
      <c r="OES189" s="16"/>
      <c r="OET189" s="16"/>
      <c r="OEU189" s="16"/>
      <c r="OEV189" s="16"/>
      <c r="OEW189" s="16"/>
      <c r="OEX189" s="16"/>
      <c r="OEY189" s="16"/>
      <c r="OEZ189" s="16"/>
      <c r="OFA189" s="16"/>
      <c r="OFB189" s="16"/>
      <c r="OFC189" s="16"/>
      <c r="OFD189" s="16"/>
      <c r="OFE189" s="16"/>
      <c r="OFF189" s="16"/>
      <c r="OFG189" s="16"/>
      <c r="OFH189" s="16"/>
      <c r="OFI189" s="16"/>
      <c r="OFJ189" s="16"/>
      <c r="OFK189" s="16"/>
      <c r="OFL189" s="16"/>
      <c r="OFM189" s="16"/>
      <c r="OFN189" s="16"/>
      <c r="OFO189" s="16"/>
      <c r="OFP189" s="16"/>
      <c r="OFQ189" s="16"/>
      <c r="OFR189" s="16"/>
      <c r="OFS189" s="16"/>
      <c r="OFT189" s="16"/>
      <c r="OFU189" s="16"/>
      <c r="OFV189" s="16"/>
      <c r="OFW189" s="16"/>
      <c r="OFX189" s="16"/>
      <c r="OFY189" s="16"/>
      <c r="OFZ189" s="16"/>
      <c r="OGA189" s="16"/>
      <c r="OGB189" s="16"/>
      <c r="OGC189" s="16"/>
      <c r="OGD189" s="16"/>
      <c r="OGE189" s="16"/>
      <c r="OGF189" s="16"/>
      <c r="OGG189" s="16"/>
      <c r="OGH189" s="16"/>
      <c r="OGI189" s="16"/>
      <c r="OGJ189" s="16"/>
      <c r="OGK189" s="16"/>
      <c r="OGL189" s="16"/>
      <c r="OGM189" s="16"/>
      <c r="OGN189" s="16"/>
      <c r="OGO189" s="16"/>
      <c r="OGP189" s="16"/>
      <c r="OGQ189" s="16"/>
      <c r="OGR189" s="16"/>
      <c r="OGS189" s="16"/>
      <c r="OGT189" s="16"/>
      <c r="OGU189" s="16"/>
      <c r="OGV189" s="16"/>
      <c r="OGW189" s="16"/>
      <c r="OGX189" s="16"/>
      <c r="OGY189" s="16"/>
      <c r="OGZ189" s="16"/>
      <c r="OHA189" s="16"/>
      <c r="OHB189" s="16"/>
      <c r="OHC189" s="16"/>
      <c r="OHD189" s="16"/>
      <c r="OHE189" s="16"/>
      <c r="OHF189" s="16"/>
      <c r="OHG189" s="16"/>
      <c r="OHH189" s="16"/>
      <c r="OHI189" s="16"/>
      <c r="OHJ189" s="16"/>
      <c r="OHK189" s="16"/>
      <c r="OHL189" s="16"/>
      <c r="OHM189" s="16"/>
      <c r="OHN189" s="16"/>
      <c r="OHO189" s="16"/>
      <c r="OHP189" s="16"/>
      <c r="OHQ189" s="16"/>
      <c r="OHR189" s="16"/>
      <c r="OHS189" s="16"/>
      <c r="OHT189" s="16"/>
      <c r="OHU189" s="16"/>
      <c r="OHV189" s="16"/>
      <c r="OHW189" s="16"/>
      <c r="OHX189" s="16"/>
      <c r="OHY189" s="16"/>
      <c r="OHZ189" s="16"/>
      <c r="OIA189" s="16"/>
      <c r="OIB189" s="16"/>
      <c r="OIC189" s="16"/>
      <c r="OID189" s="16"/>
      <c r="OIE189" s="16"/>
      <c r="OIF189" s="16"/>
      <c r="OIG189" s="16"/>
      <c r="OIH189" s="16"/>
      <c r="OII189" s="16"/>
      <c r="OIJ189" s="16"/>
      <c r="OIK189" s="16"/>
      <c r="OIL189" s="16"/>
      <c r="OIM189" s="16"/>
      <c r="OIN189" s="16"/>
      <c r="OIO189" s="16"/>
      <c r="OIP189" s="16"/>
      <c r="OIQ189" s="16"/>
      <c r="OIR189" s="16"/>
      <c r="OIS189" s="16"/>
      <c r="OIT189" s="16"/>
      <c r="OIU189" s="16"/>
      <c r="OIV189" s="16"/>
      <c r="OIW189" s="16"/>
      <c r="OIX189" s="16"/>
      <c r="OIY189" s="16"/>
      <c r="OIZ189" s="16"/>
      <c r="OJA189" s="16"/>
      <c r="OJB189" s="16"/>
      <c r="OJC189" s="16"/>
      <c r="OJD189" s="16"/>
      <c r="OJE189" s="16"/>
      <c r="OJF189" s="16"/>
      <c r="OJG189" s="16"/>
      <c r="OJH189" s="16"/>
      <c r="OJI189" s="16"/>
      <c r="OJJ189" s="16"/>
      <c r="OJK189" s="16"/>
      <c r="OJL189" s="16"/>
      <c r="OJM189" s="16"/>
      <c r="OJN189" s="16"/>
      <c r="OJO189" s="16"/>
      <c r="OJP189" s="16"/>
      <c r="OJQ189" s="16"/>
      <c r="OJR189" s="16"/>
      <c r="OJS189" s="16"/>
      <c r="OJT189" s="16"/>
      <c r="OJU189" s="16"/>
      <c r="OJV189" s="16"/>
      <c r="OJW189" s="16"/>
      <c r="OJX189" s="16"/>
      <c r="OJY189" s="16"/>
      <c r="OJZ189" s="16"/>
      <c r="OKA189" s="16"/>
      <c r="OKB189" s="16"/>
      <c r="OKC189" s="16"/>
      <c r="OKD189" s="16"/>
      <c r="OKE189" s="16"/>
      <c r="OKF189" s="16"/>
      <c r="OKG189" s="16"/>
      <c r="OKH189" s="16"/>
      <c r="OKI189" s="16"/>
      <c r="OKJ189" s="16"/>
      <c r="OKK189" s="16"/>
      <c r="OKL189" s="16"/>
      <c r="OKM189" s="16"/>
      <c r="OKN189" s="16"/>
      <c r="OKO189" s="16"/>
      <c r="OKP189" s="16"/>
      <c r="OKQ189" s="16"/>
      <c r="OKR189" s="16"/>
      <c r="OKS189" s="16"/>
      <c r="OKT189" s="16"/>
      <c r="OKU189" s="16"/>
      <c r="OKV189" s="16"/>
      <c r="OKW189" s="16"/>
      <c r="OKX189" s="16"/>
      <c r="OKY189" s="16"/>
      <c r="OKZ189" s="16"/>
      <c r="OLA189" s="16"/>
      <c r="OLB189" s="16"/>
      <c r="OLC189" s="16"/>
      <c r="OLD189" s="16"/>
      <c r="OLE189" s="16"/>
      <c r="OLF189" s="16"/>
      <c r="OLG189" s="16"/>
      <c r="OLH189" s="16"/>
      <c r="OLI189" s="16"/>
      <c r="OLJ189" s="16"/>
      <c r="OLK189" s="16"/>
      <c r="OLL189" s="16"/>
      <c r="OLM189" s="16"/>
      <c r="OLN189" s="16"/>
      <c r="OLO189" s="16"/>
      <c r="OLP189" s="16"/>
      <c r="OLQ189" s="16"/>
      <c r="OLR189" s="16"/>
      <c r="OLS189" s="16"/>
      <c r="OLT189" s="16"/>
      <c r="OLU189" s="16"/>
      <c r="OLV189" s="16"/>
      <c r="OLW189" s="16"/>
      <c r="OLX189" s="16"/>
      <c r="OLY189" s="16"/>
      <c r="OLZ189" s="16"/>
      <c r="OMA189" s="16"/>
      <c r="OMB189" s="16"/>
      <c r="OMC189" s="16"/>
      <c r="OMD189" s="16"/>
      <c r="OME189" s="16"/>
      <c r="OMF189" s="16"/>
      <c r="OMG189" s="16"/>
      <c r="OMH189" s="16"/>
      <c r="OMI189" s="16"/>
      <c r="OMJ189" s="16"/>
      <c r="OMK189" s="16"/>
      <c r="OML189" s="16"/>
      <c r="OMM189" s="16"/>
      <c r="OMN189" s="16"/>
      <c r="OMO189" s="16"/>
      <c r="OMP189" s="16"/>
      <c r="OMQ189" s="16"/>
      <c r="OMR189" s="16"/>
      <c r="OMS189" s="16"/>
      <c r="OMT189" s="16"/>
      <c r="OMU189" s="16"/>
      <c r="OMV189" s="16"/>
      <c r="OMW189" s="16"/>
      <c r="OMX189" s="16"/>
      <c r="OMY189" s="16"/>
      <c r="OMZ189" s="16"/>
      <c r="ONA189" s="16"/>
      <c r="ONB189" s="16"/>
      <c r="ONC189" s="16"/>
      <c r="OND189" s="16"/>
      <c r="ONE189" s="16"/>
      <c r="ONF189" s="16"/>
      <c r="ONG189" s="16"/>
      <c r="ONH189" s="16"/>
      <c r="ONI189" s="16"/>
      <c r="ONJ189" s="16"/>
      <c r="ONK189" s="16"/>
      <c r="ONL189" s="16"/>
      <c r="ONM189" s="16"/>
      <c r="ONN189" s="16"/>
      <c r="ONO189" s="16"/>
      <c r="ONP189" s="16"/>
      <c r="ONQ189" s="16"/>
      <c r="ONR189" s="16"/>
      <c r="ONS189" s="16"/>
      <c r="ONT189" s="16"/>
      <c r="ONU189" s="16"/>
      <c r="ONV189" s="16"/>
      <c r="ONW189" s="16"/>
      <c r="ONX189" s="16"/>
      <c r="ONY189" s="16"/>
      <c r="ONZ189" s="16"/>
      <c r="OOA189" s="16"/>
      <c r="OOB189" s="16"/>
      <c r="OOC189" s="16"/>
      <c r="OOD189" s="16"/>
      <c r="OOE189" s="16"/>
      <c r="OOF189" s="16"/>
      <c r="OOG189" s="16"/>
      <c r="OOH189" s="16"/>
      <c r="OOI189" s="16"/>
      <c r="OOJ189" s="16"/>
      <c r="OOK189" s="16"/>
      <c r="OOL189" s="16"/>
      <c r="OOM189" s="16"/>
      <c r="OON189" s="16"/>
      <c r="OOO189" s="16"/>
      <c r="OOP189" s="16"/>
      <c r="OOQ189" s="16"/>
      <c r="OOR189" s="16"/>
      <c r="OOS189" s="16"/>
      <c r="OOT189" s="16"/>
      <c r="OOU189" s="16"/>
      <c r="OOV189" s="16"/>
      <c r="OOW189" s="16"/>
      <c r="OOX189" s="16"/>
      <c r="OOY189" s="16"/>
      <c r="OOZ189" s="16"/>
      <c r="OPA189" s="16"/>
      <c r="OPB189" s="16"/>
      <c r="OPC189" s="16"/>
      <c r="OPD189" s="16"/>
      <c r="OPE189" s="16"/>
      <c r="OPF189" s="16"/>
      <c r="OPG189" s="16"/>
      <c r="OPH189" s="16"/>
      <c r="OPI189" s="16"/>
      <c r="OPJ189" s="16"/>
      <c r="OPK189" s="16"/>
      <c r="OPL189" s="16"/>
      <c r="OPM189" s="16"/>
      <c r="OPN189" s="16"/>
      <c r="OPO189" s="16"/>
      <c r="OPP189" s="16"/>
      <c r="OPQ189" s="16"/>
      <c r="OPR189" s="16"/>
      <c r="OPS189" s="16"/>
      <c r="OPT189" s="16"/>
      <c r="OPU189" s="16"/>
      <c r="OPV189" s="16"/>
      <c r="OPW189" s="16"/>
      <c r="OPX189" s="16"/>
      <c r="OPY189" s="16"/>
      <c r="OPZ189" s="16"/>
      <c r="OQA189" s="16"/>
      <c r="OQB189" s="16"/>
      <c r="OQC189" s="16"/>
      <c r="OQD189" s="16"/>
      <c r="OQE189" s="16"/>
      <c r="OQF189" s="16"/>
      <c r="OQG189" s="16"/>
      <c r="OQH189" s="16"/>
      <c r="OQI189" s="16"/>
      <c r="OQJ189" s="16"/>
      <c r="OQK189" s="16"/>
      <c r="OQL189" s="16"/>
      <c r="OQM189" s="16"/>
      <c r="OQN189" s="16"/>
      <c r="OQO189" s="16"/>
      <c r="OQP189" s="16"/>
      <c r="OQQ189" s="16"/>
      <c r="OQR189" s="16"/>
      <c r="OQS189" s="16"/>
      <c r="OQT189" s="16"/>
      <c r="OQU189" s="16"/>
      <c r="OQV189" s="16"/>
      <c r="OQW189" s="16"/>
      <c r="OQX189" s="16"/>
      <c r="OQY189" s="16"/>
      <c r="OQZ189" s="16"/>
      <c r="ORA189" s="16"/>
      <c r="ORB189" s="16"/>
      <c r="ORC189" s="16"/>
      <c r="ORD189" s="16"/>
      <c r="ORE189" s="16"/>
      <c r="ORF189" s="16"/>
      <c r="ORG189" s="16"/>
      <c r="ORH189" s="16"/>
      <c r="ORI189" s="16"/>
      <c r="ORJ189" s="16"/>
      <c r="ORK189" s="16"/>
      <c r="ORL189" s="16"/>
      <c r="ORM189" s="16"/>
      <c r="ORN189" s="16"/>
      <c r="ORO189" s="16"/>
      <c r="ORP189" s="16"/>
      <c r="ORQ189" s="16"/>
      <c r="ORR189" s="16"/>
      <c r="ORS189" s="16"/>
      <c r="ORT189" s="16"/>
      <c r="ORU189" s="16"/>
      <c r="ORV189" s="16"/>
      <c r="ORW189" s="16"/>
      <c r="ORX189" s="16"/>
      <c r="ORY189" s="16"/>
      <c r="ORZ189" s="16"/>
      <c r="OSA189" s="16"/>
      <c r="OSB189" s="16"/>
      <c r="OSC189" s="16"/>
      <c r="OSD189" s="16"/>
      <c r="OSE189" s="16"/>
      <c r="OSF189" s="16"/>
      <c r="OSG189" s="16"/>
      <c r="OSH189" s="16"/>
      <c r="OSI189" s="16"/>
      <c r="OSJ189" s="16"/>
      <c r="OSK189" s="16"/>
      <c r="OSL189" s="16"/>
      <c r="OSM189" s="16"/>
      <c r="OSN189" s="16"/>
      <c r="OSO189" s="16"/>
      <c r="OSP189" s="16"/>
      <c r="OSQ189" s="16"/>
      <c r="OSR189" s="16"/>
      <c r="OSS189" s="16"/>
      <c r="OST189" s="16"/>
      <c r="OSU189" s="16"/>
      <c r="OSV189" s="16"/>
      <c r="OSW189" s="16"/>
      <c r="OSX189" s="16"/>
      <c r="OSY189" s="16"/>
      <c r="OSZ189" s="16"/>
      <c r="OTA189" s="16"/>
      <c r="OTB189" s="16"/>
      <c r="OTC189" s="16"/>
      <c r="OTD189" s="16"/>
      <c r="OTE189" s="16"/>
      <c r="OTF189" s="16"/>
      <c r="OTG189" s="16"/>
      <c r="OTH189" s="16"/>
      <c r="OTI189" s="16"/>
      <c r="OTJ189" s="16"/>
      <c r="OTK189" s="16"/>
      <c r="OTL189" s="16"/>
      <c r="OTM189" s="16"/>
      <c r="OTN189" s="16"/>
      <c r="OTO189" s="16"/>
      <c r="OTP189" s="16"/>
      <c r="OTQ189" s="16"/>
      <c r="OTR189" s="16"/>
      <c r="OTS189" s="16"/>
      <c r="OTT189" s="16"/>
      <c r="OTU189" s="16"/>
      <c r="OTV189" s="16"/>
      <c r="OTW189" s="16"/>
      <c r="OTX189" s="16"/>
      <c r="OTY189" s="16"/>
      <c r="OTZ189" s="16"/>
      <c r="OUA189" s="16"/>
      <c r="OUB189" s="16"/>
      <c r="OUC189" s="16"/>
      <c r="OUD189" s="16"/>
      <c r="OUE189" s="16"/>
      <c r="OUF189" s="16"/>
      <c r="OUG189" s="16"/>
      <c r="OUH189" s="16"/>
      <c r="OUI189" s="16"/>
      <c r="OUJ189" s="16"/>
      <c r="OUK189" s="16"/>
      <c r="OUL189" s="16"/>
      <c r="OUM189" s="16"/>
      <c r="OUN189" s="16"/>
      <c r="OUO189" s="16"/>
      <c r="OUP189" s="16"/>
      <c r="OUQ189" s="16"/>
      <c r="OUR189" s="16"/>
      <c r="OUS189" s="16"/>
      <c r="OUT189" s="16"/>
      <c r="OUU189" s="16"/>
      <c r="OUV189" s="16"/>
      <c r="OUW189" s="16"/>
      <c r="OUX189" s="16"/>
      <c r="OUY189" s="16"/>
      <c r="OUZ189" s="16"/>
      <c r="OVA189" s="16"/>
      <c r="OVB189" s="16"/>
      <c r="OVC189" s="16"/>
      <c r="OVD189" s="16"/>
      <c r="OVE189" s="16"/>
      <c r="OVF189" s="16"/>
      <c r="OVG189" s="16"/>
      <c r="OVH189" s="16"/>
      <c r="OVI189" s="16"/>
      <c r="OVJ189" s="16"/>
      <c r="OVK189" s="16"/>
      <c r="OVL189" s="16"/>
      <c r="OVM189" s="16"/>
      <c r="OVN189" s="16"/>
      <c r="OVO189" s="16"/>
      <c r="OVP189" s="16"/>
      <c r="OVQ189" s="16"/>
      <c r="OVR189" s="16"/>
      <c r="OVS189" s="16"/>
      <c r="OVT189" s="16"/>
      <c r="OVU189" s="16"/>
      <c r="OVV189" s="16"/>
      <c r="OVW189" s="16"/>
      <c r="OVX189" s="16"/>
      <c r="OVY189" s="16"/>
      <c r="OVZ189" s="16"/>
      <c r="OWA189" s="16"/>
      <c r="OWB189" s="16"/>
      <c r="OWC189" s="16"/>
      <c r="OWD189" s="16"/>
      <c r="OWE189" s="16"/>
      <c r="OWF189" s="16"/>
      <c r="OWG189" s="16"/>
      <c r="OWH189" s="16"/>
      <c r="OWI189" s="16"/>
      <c r="OWJ189" s="16"/>
      <c r="OWK189" s="16"/>
      <c r="OWL189" s="16"/>
      <c r="OWM189" s="16"/>
      <c r="OWN189" s="16"/>
      <c r="OWO189" s="16"/>
      <c r="OWP189" s="16"/>
      <c r="OWQ189" s="16"/>
      <c r="OWR189" s="16"/>
      <c r="OWS189" s="16"/>
      <c r="OWT189" s="16"/>
      <c r="OWU189" s="16"/>
      <c r="OWV189" s="16"/>
      <c r="OWW189" s="16"/>
      <c r="OWX189" s="16"/>
      <c r="OWY189" s="16"/>
      <c r="OWZ189" s="16"/>
      <c r="OXA189" s="16"/>
      <c r="OXB189" s="16"/>
      <c r="OXC189" s="16"/>
      <c r="OXD189" s="16"/>
      <c r="OXE189" s="16"/>
      <c r="OXF189" s="16"/>
      <c r="OXG189" s="16"/>
      <c r="OXH189" s="16"/>
      <c r="OXI189" s="16"/>
      <c r="OXJ189" s="16"/>
      <c r="OXK189" s="16"/>
      <c r="OXL189" s="16"/>
      <c r="OXM189" s="16"/>
      <c r="OXN189" s="16"/>
      <c r="OXO189" s="16"/>
      <c r="OXP189" s="16"/>
      <c r="OXQ189" s="16"/>
      <c r="OXR189" s="16"/>
      <c r="OXS189" s="16"/>
      <c r="OXT189" s="16"/>
      <c r="OXU189" s="16"/>
      <c r="OXV189" s="16"/>
      <c r="OXW189" s="16"/>
      <c r="OXX189" s="16"/>
      <c r="OXY189" s="16"/>
      <c r="OXZ189" s="16"/>
      <c r="OYA189" s="16"/>
      <c r="OYB189" s="16"/>
      <c r="OYC189" s="16"/>
      <c r="OYD189" s="16"/>
      <c r="OYE189" s="16"/>
      <c r="OYF189" s="16"/>
      <c r="OYG189" s="16"/>
      <c r="OYH189" s="16"/>
      <c r="OYI189" s="16"/>
      <c r="OYJ189" s="16"/>
      <c r="OYK189" s="16"/>
      <c r="OYL189" s="16"/>
      <c r="OYM189" s="16"/>
      <c r="OYN189" s="16"/>
      <c r="OYO189" s="16"/>
      <c r="OYP189" s="16"/>
      <c r="OYQ189" s="16"/>
      <c r="OYR189" s="16"/>
      <c r="OYS189" s="16"/>
      <c r="OYT189" s="16"/>
      <c r="OYU189" s="16"/>
      <c r="OYV189" s="16"/>
      <c r="OYW189" s="16"/>
      <c r="OYX189" s="16"/>
      <c r="OYY189" s="16"/>
      <c r="OYZ189" s="16"/>
      <c r="OZA189" s="16"/>
      <c r="OZB189" s="16"/>
      <c r="OZC189" s="16"/>
      <c r="OZD189" s="16"/>
      <c r="OZE189" s="16"/>
      <c r="OZF189" s="16"/>
      <c r="OZG189" s="16"/>
      <c r="OZH189" s="16"/>
      <c r="OZI189" s="16"/>
      <c r="OZJ189" s="16"/>
      <c r="OZK189" s="16"/>
      <c r="OZL189" s="16"/>
      <c r="OZM189" s="16"/>
      <c r="OZN189" s="16"/>
      <c r="OZO189" s="16"/>
      <c r="OZP189" s="16"/>
      <c r="OZQ189" s="16"/>
      <c r="OZR189" s="16"/>
      <c r="OZS189" s="16"/>
      <c r="OZT189" s="16"/>
      <c r="OZU189" s="16"/>
      <c r="OZV189" s="16"/>
      <c r="OZW189" s="16"/>
      <c r="OZX189" s="16"/>
      <c r="OZY189" s="16"/>
      <c r="OZZ189" s="16"/>
      <c r="PAA189" s="16"/>
      <c r="PAB189" s="16"/>
      <c r="PAC189" s="16"/>
      <c r="PAD189" s="16"/>
      <c r="PAE189" s="16"/>
      <c r="PAF189" s="16"/>
      <c r="PAG189" s="16"/>
      <c r="PAH189" s="16"/>
      <c r="PAI189" s="16"/>
      <c r="PAJ189" s="16"/>
      <c r="PAK189" s="16"/>
      <c r="PAL189" s="16"/>
      <c r="PAM189" s="16"/>
      <c r="PAN189" s="16"/>
      <c r="PAO189" s="16"/>
      <c r="PAP189" s="16"/>
      <c r="PAQ189" s="16"/>
      <c r="PAR189" s="16"/>
      <c r="PAS189" s="16"/>
      <c r="PAT189" s="16"/>
      <c r="PAU189" s="16"/>
      <c r="PAV189" s="16"/>
      <c r="PAW189" s="16"/>
      <c r="PAX189" s="16"/>
      <c r="PAY189" s="16"/>
      <c r="PAZ189" s="16"/>
      <c r="PBA189" s="16"/>
      <c r="PBB189" s="16"/>
      <c r="PBC189" s="16"/>
      <c r="PBD189" s="16"/>
      <c r="PBE189" s="16"/>
      <c r="PBF189" s="16"/>
      <c r="PBG189" s="16"/>
      <c r="PBH189" s="16"/>
      <c r="PBI189" s="16"/>
      <c r="PBJ189" s="16"/>
      <c r="PBK189" s="16"/>
      <c r="PBL189" s="16"/>
      <c r="PBM189" s="16"/>
      <c r="PBN189" s="16"/>
      <c r="PBO189" s="16"/>
      <c r="PBP189" s="16"/>
      <c r="PBQ189" s="16"/>
      <c r="PBR189" s="16"/>
      <c r="PBS189" s="16"/>
      <c r="PBT189" s="16"/>
      <c r="PBU189" s="16"/>
      <c r="PBV189" s="16"/>
      <c r="PBW189" s="16"/>
      <c r="PBX189" s="16"/>
      <c r="PBY189" s="16"/>
      <c r="PBZ189" s="16"/>
      <c r="PCA189" s="16"/>
      <c r="PCB189" s="16"/>
      <c r="PCC189" s="16"/>
      <c r="PCD189" s="16"/>
      <c r="PCE189" s="16"/>
      <c r="PCF189" s="16"/>
      <c r="PCG189" s="16"/>
      <c r="PCH189" s="16"/>
      <c r="PCI189" s="16"/>
      <c r="PCJ189" s="16"/>
      <c r="PCK189" s="16"/>
      <c r="PCL189" s="16"/>
      <c r="PCM189" s="16"/>
      <c r="PCN189" s="16"/>
      <c r="PCO189" s="16"/>
      <c r="PCP189" s="16"/>
      <c r="PCQ189" s="16"/>
      <c r="PCR189" s="16"/>
      <c r="PCS189" s="16"/>
      <c r="PCT189" s="16"/>
      <c r="PCU189" s="16"/>
      <c r="PCV189" s="16"/>
      <c r="PCW189" s="16"/>
      <c r="PCX189" s="16"/>
      <c r="PCY189" s="16"/>
      <c r="PCZ189" s="16"/>
      <c r="PDA189" s="16"/>
      <c r="PDB189" s="16"/>
      <c r="PDC189" s="16"/>
      <c r="PDD189" s="16"/>
      <c r="PDE189" s="16"/>
      <c r="PDF189" s="16"/>
      <c r="PDG189" s="16"/>
      <c r="PDH189" s="16"/>
      <c r="PDI189" s="16"/>
      <c r="PDJ189" s="16"/>
      <c r="PDK189" s="16"/>
      <c r="PDL189" s="16"/>
      <c r="PDM189" s="16"/>
      <c r="PDN189" s="16"/>
      <c r="PDO189" s="16"/>
      <c r="PDP189" s="16"/>
      <c r="PDQ189" s="16"/>
      <c r="PDR189" s="16"/>
      <c r="PDS189" s="16"/>
      <c r="PDT189" s="16"/>
      <c r="PDU189" s="16"/>
      <c r="PDV189" s="16"/>
      <c r="PDW189" s="16"/>
      <c r="PDX189" s="16"/>
      <c r="PDY189" s="16"/>
      <c r="PDZ189" s="16"/>
      <c r="PEA189" s="16"/>
      <c r="PEB189" s="16"/>
      <c r="PEC189" s="16"/>
      <c r="PED189" s="16"/>
      <c r="PEE189" s="16"/>
      <c r="PEF189" s="16"/>
      <c r="PEG189" s="16"/>
      <c r="PEH189" s="16"/>
      <c r="PEI189" s="16"/>
      <c r="PEJ189" s="16"/>
      <c r="PEK189" s="16"/>
      <c r="PEL189" s="16"/>
      <c r="PEM189" s="16"/>
      <c r="PEN189" s="16"/>
      <c r="PEO189" s="16"/>
      <c r="PEP189" s="16"/>
      <c r="PEQ189" s="16"/>
      <c r="PER189" s="16"/>
      <c r="PES189" s="16"/>
      <c r="PET189" s="16"/>
      <c r="PEU189" s="16"/>
      <c r="PEV189" s="16"/>
      <c r="PEW189" s="16"/>
      <c r="PEX189" s="16"/>
      <c r="PEY189" s="16"/>
      <c r="PEZ189" s="16"/>
      <c r="PFA189" s="16"/>
      <c r="PFB189" s="16"/>
      <c r="PFC189" s="16"/>
      <c r="PFD189" s="16"/>
      <c r="PFE189" s="16"/>
      <c r="PFF189" s="16"/>
      <c r="PFG189" s="16"/>
      <c r="PFH189" s="16"/>
      <c r="PFI189" s="16"/>
      <c r="PFJ189" s="16"/>
      <c r="PFK189" s="16"/>
      <c r="PFL189" s="16"/>
      <c r="PFM189" s="16"/>
      <c r="PFN189" s="16"/>
      <c r="PFO189" s="16"/>
      <c r="PFP189" s="16"/>
      <c r="PFQ189" s="16"/>
      <c r="PFR189" s="16"/>
      <c r="PFS189" s="16"/>
      <c r="PFT189" s="16"/>
      <c r="PFU189" s="16"/>
      <c r="PFV189" s="16"/>
      <c r="PFW189" s="16"/>
      <c r="PFX189" s="16"/>
      <c r="PFY189" s="16"/>
      <c r="PFZ189" s="16"/>
      <c r="PGA189" s="16"/>
      <c r="PGB189" s="16"/>
      <c r="PGC189" s="16"/>
      <c r="PGD189" s="16"/>
      <c r="PGE189" s="16"/>
      <c r="PGF189" s="16"/>
      <c r="PGG189" s="16"/>
      <c r="PGH189" s="16"/>
      <c r="PGI189" s="16"/>
      <c r="PGJ189" s="16"/>
      <c r="PGK189" s="16"/>
      <c r="PGL189" s="16"/>
      <c r="PGM189" s="16"/>
      <c r="PGN189" s="16"/>
      <c r="PGO189" s="16"/>
      <c r="PGP189" s="16"/>
      <c r="PGQ189" s="16"/>
      <c r="PGR189" s="16"/>
      <c r="PGS189" s="16"/>
      <c r="PGT189" s="16"/>
      <c r="PGU189" s="16"/>
      <c r="PGV189" s="16"/>
      <c r="PGW189" s="16"/>
      <c r="PGX189" s="16"/>
      <c r="PGY189" s="16"/>
      <c r="PGZ189" s="16"/>
      <c r="PHA189" s="16"/>
      <c r="PHB189" s="16"/>
      <c r="PHC189" s="16"/>
      <c r="PHD189" s="16"/>
      <c r="PHE189" s="16"/>
      <c r="PHF189" s="16"/>
      <c r="PHG189" s="16"/>
      <c r="PHH189" s="16"/>
      <c r="PHI189" s="16"/>
      <c r="PHJ189" s="16"/>
      <c r="PHK189" s="16"/>
      <c r="PHL189" s="16"/>
      <c r="PHM189" s="16"/>
      <c r="PHN189" s="16"/>
      <c r="PHO189" s="16"/>
      <c r="PHP189" s="16"/>
      <c r="PHQ189" s="16"/>
      <c r="PHR189" s="16"/>
      <c r="PHS189" s="16"/>
      <c r="PHT189" s="16"/>
      <c r="PHU189" s="16"/>
      <c r="PHV189" s="16"/>
      <c r="PHW189" s="16"/>
      <c r="PHX189" s="16"/>
      <c r="PHY189" s="16"/>
      <c r="PHZ189" s="16"/>
      <c r="PIA189" s="16"/>
      <c r="PIB189" s="16"/>
      <c r="PIC189" s="16"/>
      <c r="PID189" s="16"/>
      <c r="PIE189" s="16"/>
      <c r="PIF189" s="16"/>
      <c r="PIG189" s="16"/>
      <c r="PIH189" s="16"/>
      <c r="PII189" s="16"/>
      <c r="PIJ189" s="16"/>
      <c r="PIK189" s="16"/>
      <c r="PIL189" s="16"/>
      <c r="PIM189" s="16"/>
      <c r="PIN189" s="16"/>
      <c r="PIO189" s="16"/>
      <c r="PIP189" s="16"/>
      <c r="PIQ189" s="16"/>
      <c r="PIR189" s="16"/>
      <c r="PIS189" s="16"/>
      <c r="PIT189" s="16"/>
      <c r="PIU189" s="16"/>
      <c r="PIV189" s="16"/>
      <c r="PIW189" s="16"/>
      <c r="PIX189" s="16"/>
      <c r="PIY189" s="16"/>
      <c r="PIZ189" s="16"/>
      <c r="PJA189" s="16"/>
      <c r="PJB189" s="16"/>
      <c r="PJC189" s="16"/>
      <c r="PJD189" s="16"/>
      <c r="PJE189" s="16"/>
      <c r="PJF189" s="16"/>
      <c r="PJG189" s="16"/>
      <c r="PJH189" s="16"/>
      <c r="PJI189" s="16"/>
      <c r="PJJ189" s="16"/>
      <c r="PJK189" s="16"/>
      <c r="PJL189" s="16"/>
      <c r="PJM189" s="16"/>
      <c r="PJN189" s="16"/>
      <c r="PJO189" s="16"/>
      <c r="PJP189" s="16"/>
      <c r="PJQ189" s="16"/>
      <c r="PJR189" s="16"/>
      <c r="PJS189" s="16"/>
      <c r="PJT189" s="16"/>
      <c r="PJU189" s="16"/>
      <c r="PJV189" s="16"/>
      <c r="PJW189" s="16"/>
      <c r="PJX189" s="16"/>
      <c r="PJY189" s="16"/>
      <c r="PJZ189" s="16"/>
      <c r="PKA189" s="16"/>
      <c r="PKB189" s="16"/>
      <c r="PKC189" s="16"/>
      <c r="PKD189" s="16"/>
      <c r="PKE189" s="16"/>
      <c r="PKF189" s="16"/>
      <c r="PKG189" s="16"/>
      <c r="PKH189" s="16"/>
      <c r="PKI189" s="16"/>
      <c r="PKJ189" s="16"/>
      <c r="PKK189" s="16"/>
      <c r="PKL189" s="16"/>
      <c r="PKM189" s="16"/>
      <c r="PKN189" s="16"/>
      <c r="PKO189" s="16"/>
      <c r="PKP189" s="16"/>
      <c r="PKQ189" s="16"/>
      <c r="PKR189" s="16"/>
      <c r="PKS189" s="16"/>
      <c r="PKT189" s="16"/>
      <c r="PKU189" s="16"/>
      <c r="PKV189" s="16"/>
      <c r="PKW189" s="16"/>
      <c r="PKX189" s="16"/>
      <c r="PKY189" s="16"/>
      <c r="PKZ189" s="16"/>
      <c r="PLA189" s="16"/>
      <c r="PLB189" s="16"/>
      <c r="PLC189" s="16"/>
      <c r="PLD189" s="16"/>
      <c r="PLE189" s="16"/>
      <c r="PLF189" s="16"/>
      <c r="PLG189" s="16"/>
      <c r="PLH189" s="16"/>
      <c r="PLI189" s="16"/>
      <c r="PLJ189" s="16"/>
      <c r="PLK189" s="16"/>
      <c r="PLL189" s="16"/>
      <c r="PLM189" s="16"/>
      <c r="PLN189" s="16"/>
      <c r="PLO189" s="16"/>
      <c r="PLP189" s="16"/>
      <c r="PLQ189" s="16"/>
      <c r="PLR189" s="16"/>
      <c r="PLS189" s="16"/>
      <c r="PLT189" s="16"/>
      <c r="PLU189" s="16"/>
      <c r="PLV189" s="16"/>
      <c r="PLW189" s="16"/>
      <c r="PLX189" s="16"/>
      <c r="PLY189" s="16"/>
      <c r="PLZ189" s="16"/>
      <c r="PMA189" s="16"/>
      <c r="PMB189" s="16"/>
      <c r="PMC189" s="16"/>
      <c r="PMD189" s="16"/>
      <c r="PME189" s="16"/>
      <c r="PMF189" s="16"/>
      <c r="PMG189" s="16"/>
      <c r="PMH189" s="16"/>
      <c r="PMI189" s="16"/>
      <c r="PMJ189" s="16"/>
      <c r="PMK189" s="16"/>
      <c r="PML189" s="16"/>
      <c r="PMM189" s="16"/>
      <c r="PMN189" s="16"/>
      <c r="PMO189" s="16"/>
      <c r="PMP189" s="16"/>
      <c r="PMQ189" s="16"/>
      <c r="PMR189" s="16"/>
      <c r="PMS189" s="16"/>
      <c r="PMT189" s="16"/>
      <c r="PMU189" s="16"/>
      <c r="PMV189" s="16"/>
      <c r="PMW189" s="16"/>
      <c r="PMX189" s="16"/>
      <c r="PMY189" s="16"/>
      <c r="PMZ189" s="16"/>
      <c r="PNA189" s="16"/>
      <c r="PNB189" s="16"/>
      <c r="PNC189" s="16"/>
      <c r="PND189" s="16"/>
      <c r="PNE189" s="16"/>
      <c r="PNF189" s="16"/>
      <c r="PNG189" s="16"/>
      <c r="PNH189" s="16"/>
      <c r="PNI189" s="16"/>
      <c r="PNJ189" s="16"/>
      <c r="PNK189" s="16"/>
      <c r="PNL189" s="16"/>
      <c r="PNM189" s="16"/>
      <c r="PNN189" s="16"/>
      <c r="PNO189" s="16"/>
      <c r="PNP189" s="16"/>
      <c r="PNQ189" s="16"/>
      <c r="PNR189" s="16"/>
      <c r="PNS189" s="16"/>
      <c r="PNT189" s="16"/>
      <c r="PNU189" s="16"/>
      <c r="PNV189" s="16"/>
      <c r="PNW189" s="16"/>
      <c r="PNX189" s="16"/>
      <c r="PNY189" s="16"/>
      <c r="PNZ189" s="16"/>
      <c r="POA189" s="16"/>
      <c r="POB189" s="16"/>
      <c r="POC189" s="16"/>
      <c r="POD189" s="16"/>
      <c r="POE189" s="16"/>
      <c r="POF189" s="16"/>
      <c r="POG189" s="16"/>
      <c r="POH189" s="16"/>
      <c r="POI189" s="16"/>
      <c r="POJ189" s="16"/>
      <c r="POK189" s="16"/>
      <c r="POL189" s="16"/>
      <c r="POM189" s="16"/>
      <c r="PON189" s="16"/>
      <c r="POO189" s="16"/>
      <c r="POP189" s="16"/>
      <c r="POQ189" s="16"/>
      <c r="POR189" s="16"/>
      <c r="POS189" s="16"/>
      <c r="POT189" s="16"/>
      <c r="POU189" s="16"/>
      <c r="POV189" s="16"/>
      <c r="POW189" s="16"/>
      <c r="POX189" s="16"/>
      <c r="POY189" s="16"/>
      <c r="POZ189" s="16"/>
      <c r="PPA189" s="16"/>
      <c r="PPB189" s="16"/>
      <c r="PPC189" s="16"/>
      <c r="PPD189" s="16"/>
      <c r="PPE189" s="16"/>
      <c r="PPF189" s="16"/>
      <c r="PPG189" s="16"/>
      <c r="PPH189" s="16"/>
      <c r="PPI189" s="16"/>
      <c r="PPJ189" s="16"/>
      <c r="PPK189" s="16"/>
      <c r="PPL189" s="16"/>
      <c r="PPM189" s="16"/>
      <c r="PPN189" s="16"/>
      <c r="PPO189" s="16"/>
      <c r="PPP189" s="16"/>
      <c r="PPQ189" s="16"/>
      <c r="PPR189" s="16"/>
      <c r="PPS189" s="16"/>
      <c r="PPT189" s="16"/>
      <c r="PPU189" s="16"/>
      <c r="PPV189" s="16"/>
      <c r="PPW189" s="16"/>
      <c r="PPX189" s="16"/>
      <c r="PPY189" s="16"/>
      <c r="PPZ189" s="16"/>
      <c r="PQA189" s="16"/>
      <c r="PQB189" s="16"/>
      <c r="PQC189" s="16"/>
      <c r="PQD189" s="16"/>
      <c r="PQE189" s="16"/>
      <c r="PQF189" s="16"/>
      <c r="PQG189" s="16"/>
      <c r="PQH189" s="16"/>
      <c r="PQI189" s="16"/>
      <c r="PQJ189" s="16"/>
      <c r="PQK189" s="16"/>
      <c r="PQL189" s="16"/>
      <c r="PQM189" s="16"/>
      <c r="PQN189" s="16"/>
      <c r="PQO189" s="16"/>
      <c r="PQP189" s="16"/>
      <c r="PQQ189" s="16"/>
      <c r="PQR189" s="16"/>
      <c r="PQS189" s="16"/>
      <c r="PQT189" s="16"/>
      <c r="PQU189" s="16"/>
      <c r="PQV189" s="16"/>
      <c r="PQW189" s="16"/>
      <c r="PQX189" s="16"/>
      <c r="PQY189" s="16"/>
      <c r="PQZ189" s="16"/>
      <c r="PRA189" s="16"/>
      <c r="PRB189" s="16"/>
      <c r="PRC189" s="16"/>
      <c r="PRD189" s="16"/>
      <c r="PRE189" s="16"/>
      <c r="PRF189" s="16"/>
      <c r="PRG189" s="16"/>
      <c r="PRH189" s="16"/>
      <c r="PRI189" s="16"/>
      <c r="PRJ189" s="16"/>
      <c r="PRK189" s="16"/>
      <c r="PRL189" s="16"/>
      <c r="PRM189" s="16"/>
      <c r="PRN189" s="16"/>
      <c r="PRO189" s="16"/>
      <c r="PRP189" s="16"/>
      <c r="PRQ189" s="16"/>
      <c r="PRR189" s="16"/>
      <c r="PRS189" s="16"/>
      <c r="PRT189" s="16"/>
      <c r="PRU189" s="16"/>
      <c r="PRV189" s="16"/>
      <c r="PRW189" s="16"/>
      <c r="PRX189" s="16"/>
      <c r="PRY189" s="16"/>
      <c r="PRZ189" s="16"/>
      <c r="PSA189" s="16"/>
      <c r="PSB189" s="16"/>
      <c r="PSC189" s="16"/>
      <c r="PSD189" s="16"/>
      <c r="PSE189" s="16"/>
      <c r="PSF189" s="16"/>
      <c r="PSG189" s="16"/>
      <c r="PSH189" s="16"/>
      <c r="PSI189" s="16"/>
      <c r="PSJ189" s="16"/>
      <c r="PSK189" s="16"/>
      <c r="PSL189" s="16"/>
      <c r="PSM189" s="16"/>
      <c r="PSN189" s="16"/>
      <c r="PSO189" s="16"/>
      <c r="PSP189" s="16"/>
      <c r="PSQ189" s="16"/>
      <c r="PSR189" s="16"/>
      <c r="PSS189" s="16"/>
      <c r="PST189" s="16"/>
      <c r="PSU189" s="16"/>
      <c r="PSV189" s="16"/>
      <c r="PSW189" s="16"/>
      <c r="PSX189" s="16"/>
      <c r="PSY189" s="16"/>
      <c r="PSZ189" s="16"/>
      <c r="PTA189" s="16"/>
      <c r="PTB189" s="16"/>
      <c r="PTC189" s="16"/>
      <c r="PTD189" s="16"/>
      <c r="PTE189" s="16"/>
      <c r="PTF189" s="16"/>
      <c r="PTG189" s="16"/>
      <c r="PTH189" s="16"/>
      <c r="PTI189" s="16"/>
      <c r="PTJ189" s="16"/>
      <c r="PTK189" s="16"/>
      <c r="PTL189" s="16"/>
      <c r="PTM189" s="16"/>
      <c r="PTN189" s="16"/>
      <c r="PTO189" s="16"/>
      <c r="PTP189" s="16"/>
      <c r="PTQ189" s="16"/>
      <c r="PTR189" s="16"/>
      <c r="PTS189" s="16"/>
      <c r="PTT189" s="16"/>
      <c r="PTU189" s="16"/>
      <c r="PTV189" s="16"/>
      <c r="PTW189" s="16"/>
      <c r="PTX189" s="16"/>
      <c r="PTY189" s="16"/>
      <c r="PTZ189" s="16"/>
      <c r="PUA189" s="16"/>
      <c r="PUB189" s="16"/>
      <c r="PUC189" s="16"/>
      <c r="PUD189" s="16"/>
      <c r="PUE189" s="16"/>
      <c r="PUF189" s="16"/>
      <c r="PUG189" s="16"/>
      <c r="PUH189" s="16"/>
      <c r="PUI189" s="16"/>
      <c r="PUJ189" s="16"/>
      <c r="PUK189" s="16"/>
      <c r="PUL189" s="16"/>
      <c r="PUM189" s="16"/>
      <c r="PUN189" s="16"/>
      <c r="PUO189" s="16"/>
      <c r="PUP189" s="16"/>
      <c r="PUQ189" s="16"/>
      <c r="PUR189" s="16"/>
      <c r="PUS189" s="16"/>
      <c r="PUT189" s="16"/>
      <c r="PUU189" s="16"/>
      <c r="PUV189" s="16"/>
      <c r="PUW189" s="16"/>
      <c r="PUX189" s="16"/>
      <c r="PUY189" s="16"/>
      <c r="PUZ189" s="16"/>
      <c r="PVA189" s="16"/>
      <c r="PVB189" s="16"/>
      <c r="PVC189" s="16"/>
      <c r="PVD189" s="16"/>
      <c r="PVE189" s="16"/>
      <c r="PVF189" s="16"/>
      <c r="PVG189" s="16"/>
      <c r="PVH189" s="16"/>
      <c r="PVI189" s="16"/>
      <c r="PVJ189" s="16"/>
      <c r="PVK189" s="16"/>
      <c r="PVL189" s="16"/>
      <c r="PVM189" s="16"/>
      <c r="PVN189" s="16"/>
      <c r="PVO189" s="16"/>
      <c r="PVP189" s="16"/>
      <c r="PVQ189" s="16"/>
      <c r="PVR189" s="16"/>
      <c r="PVS189" s="16"/>
      <c r="PVT189" s="16"/>
      <c r="PVU189" s="16"/>
      <c r="PVV189" s="16"/>
      <c r="PVW189" s="16"/>
      <c r="PVX189" s="16"/>
      <c r="PVY189" s="16"/>
      <c r="PVZ189" s="16"/>
      <c r="PWA189" s="16"/>
      <c r="PWB189" s="16"/>
      <c r="PWC189" s="16"/>
      <c r="PWD189" s="16"/>
      <c r="PWE189" s="16"/>
      <c r="PWF189" s="16"/>
      <c r="PWG189" s="16"/>
      <c r="PWH189" s="16"/>
      <c r="PWI189" s="16"/>
      <c r="PWJ189" s="16"/>
      <c r="PWK189" s="16"/>
      <c r="PWL189" s="16"/>
      <c r="PWM189" s="16"/>
      <c r="PWN189" s="16"/>
      <c r="PWO189" s="16"/>
      <c r="PWP189" s="16"/>
      <c r="PWQ189" s="16"/>
      <c r="PWR189" s="16"/>
      <c r="PWS189" s="16"/>
      <c r="PWT189" s="16"/>
      <c r="PWU189" s="16"/>
      <c r="PWV189" s="16"/>
      <c r="PWW189" s="16"/>
      <c r="PWX189" s="16"/>
      <c r="PWY189" s="16"/>
      <c r="PWZ189" s="16"/>
      <c r="PXA189" s="16"/>
      <c r="PXB189" s="16"/>
      <c r="PXC189" s="16"/>
      <c r="PXD189" s="16"/>
      <c r="PXE189" s="16"/>
      <c r="PXF189" s="16"/>
      <c r="PXG189" s="16"/>
      <c r="PXH189" s="16"/>
      <c r="PXI189" s="16"/>
      <c r="PXJ189" s="16"/>
      <c r="PXK189" s="16"/>
      <c r="PXL189" s="16"/>
      <c r="PXM189" s="16"/>
      <c r="PXN189" s="16"/>
      <c r="PXO189" s="16"/>
      <c r="PXP189" s="16"/>
      <c r="PXQ189" s="16"/>
      <c r="PXR189" s="16"/>
      <c r="PXS189" s="16"/>
      <c r="PXT189" s="16"/>
      <c r="PXU189" s="16"/>
      <c r="PXV189" s="16"/>
      <c r="PXW189" s="16"/>
      <c r="PXX189" s="16"/>
      <c r="PXY189" s="16"/>
      <c r="PXZ189" s="16"/>
      <c r="PYA189" s="16"/>
      <c r="PYB189" s="16"/>
      <c r="PYC189" s="16"/>
      <c r="PYD189" s="16"/>
      <c r="PYE189" s="16"/>
      <c r="PYF189" s="16"/>
      <c r="PYG189" s="16"/>
      <c r="PYH189" s="16"/>
      <c r="PYI189" s="16"/>
      <c r="PYJ189" s="16"/>
      <c r="PYK189" s="16"/>
      <c r="PYL189" s="16"/>
      <c r="PYM189" s="16"/>
      <c r="PYN189" s="16"/>
      <c r="PYO189" s="16"/>
      <c r="PYP189" s="16"/>
      <c r="PYQ189" s="16"/>
      <c r="PYR189" s="16"/>
      <c r="PYS189" s="16"/>
      <c r="PYT189" s="16"/>
      <c r="PYU189" s="16"/>
      <c r="PYV189" s="16"/>
      <c r="PYW189" s="16"/>
      <c r="PYX189" s="16"/>
      <c r="PYY189" s="16"/>
      <c r="PYZ189" s="16"/>
      <c r="PZA189" s="16"/>
      <c r="PZB189" s="16"/>
      <c r="PZC189" s="16"/>
      <c r="PZD189" s="16"/>
      <c r="PZE189" s="16"/>
      <c r="PZF189" s="16"/>
      <c r="PZG189" s="16"/>
      <c r="PZH189" s="16"/>
      <c r="PZI189" s="16"/>
      <c r="PZJ189" s="16"/>
      <c r="PZK189" s="16"/>
      <c r="PZL189" s="16"/>
      <c r="PZM189" s="16"/>
      <c r="PZN189" s="16"/>
      <c r="PZO189" s="16"/>
      <c r="PZP189" s="16"/>
      <c r="PZQ189" s="16"/>
      <c r="PZR189" s="16"/>
      <c r="PZS189" s="16"/>
      <c r="PZT189" s="16"/>
      <c r="PZU189" s="16"/>
      <c r="PZV189" s="16"/>
      <c r="PZW189" s="16"/>
      <c r="PZX189" s="16"/>
      <c r="PZY189" s="16"/>
      <c r="PZZ189" s="16"/>
      <c r="QAA189" s="16"/>
      <c r="QAB189" s="16"/>
      <c r="QAC189" s="16"/>
      <c r="QAD189" s="16"/>
      <c r="QAE189" s="16"/>
      <c r="QAF189" s="16"/>
      <c r="QAG189" s="16"/>
      <c r="QAH189" s="16"/>
      <c r="QAI189" s="16"/>
      <c r="QAJ189" s="16"/>
      <c r="QAK189" s="16"/>
      <c r="QAL189" s="16"/>
      <c r="QAM189" s="16"/>
      <c r="QAN189" s="16"/>
      <c r="QAO189" s="16"/>
      <c r="QAP189" s="16"/>
      <c r="QAQ189" s="16"/>
      <c r="QAR189" s="16"/>
      <c r="QAS189" s="16"/>
      <c r="QAT189" s="16"/>
      <c r="QAU189" s="16"/>
      <c r="QAV189" s="16"/>
      <c r="QAW189" s="16"/>
      <c r="QAX189" s="16"/>
      <c r="QAY189" s="16"/>
      <c r="QAZ189" s="16"/>
      <c r="QBA189" s="16"/>
      <c r="QBB189" s="16"/>
      <c r="QBC189" s="16"/>
      <c r="QBD189" s="16"/>
      <c r="QBE189" s="16"/>
      <c r="QBF189" s="16"/>
      <c r="QBG189" s="16"/>
      <c r="QBH189" s="16"/>
      <c r="QBI189" s="16"/>
      <c r="QBJ189" s="16"/>
      <c r="QBK189" s="16"/>
      <c r="QBL189" s="16"/>
      <c r="QBM189" s="16"/>
      <c r="QBN189" s="16"/>
      <c r="QBO189" s="16"/>
      <c r="QBP189" s="16"/>
      <c r="QBQ189" s="16"/>
      <c r="QBR189" s="16"/>
      <c r="QBS189" s="16"/>
      <c r="QBT189" s="16"/>
      <c r="QBU189" s="16"/>
      <c r="QBV189" s="16"/>
      <c r="QBW189" s="16"/>
      <c r="QBX189" s="16"/>
      <c r="QBY189" s="16"/>
      <c r="QBZ189" s="16"/>
      <c r="QCA189" s="16"/>
      <c r="QCB189" s="16"/>
      <c r="QCC189" s="16"/>
      <c r="QCD189" s="16"/>
      <c r="QCE189" s="16"/>
      <c r="QCF189" s="16"/>
      <c r="QCG189" s="16"/>
      <c r="QCH189" s="16"/>
      <c r="QCI189" s="16"/>
      <c r="QCJ189" s="16"/>
      <c r="QCK189" s="16"/>
      <c r="QCL189" s="16"/>
      <c r="QCM189" s="16"/>
      <c r="QCN189" s="16"/>
      <c r="QCO189" s="16"/>
      <c r="QCP189" s="16"/>
      <c r="QCQ189" s="16"/>
      <c r="QCR189" s="16"/>
      <c r="QCS189" s="16"/>
      <c r="QCT189" s="16"/>
      <c r="QCU189" s="16"/>
      <c r="QCV189" s="16"/>
      <c r="QCW189" s="16"/>
      <c r="QCX189" s="16"/>
      <c r="QCY189" s="16"/>
      <c r="QCZ189" s="16"/>
      <c r="QDA189" s="16"/>
      <c r="QDB189" s="16"/>
      <c r="QDC189" s="16"/>
      <c r="QDD189" s="16"/>
      <c r="QDE189" s="16"/>
      <c r="QDF189" s="16"/>
      <c r="QDG189" s="16"/>
      <c r="QDH189" s="16"/>
      <c r="QDI189" s="16"/>
      <c r="QDJ189" s="16"/>
      <c r="QDK189" s="16"/>
      <c r="QDL189" s="16"/>
      <c r="QDM189" s="16"/>
      <c r="QDN189" s="16"/>
      <c r="QDO189" s="16"/>
      <c r="QDP189" s="16"/>
      <c r="QDQ189" s="16"/>
      <c r="QDR189" s="16"/>
      <c r="QDS189" s="16"/>
      <c r="QDT189" s="16"/>
      <c r="QDU189" s="16"/>
      <c r="QDV189" s="16"/>
      <c r="QDW189" s="16"/>
      <c r="QDX189" s="16"/>
      <c r="QDY189" s="16"/>
      <c r="QDZ189" s="16"/>
      <c r="QEA189" s="16"/>
      <c r="QEB189" s="16"/>
      <c r="QEC189" s="16"/>
      <c r="QED189" s="16"/>
      <c r="QEE189" s="16"/>
      <c r="QEF189" s="16"/>
      <c r="QEG189" s="16"/>
      <c r="QEH189" s="16"/>
      <c r="QEI189" s="16"/>
      <c r="QEJ189" s="16"/>
      <c r="QEK189" s="16"/>
      <c r="QEL189" s="16"/>
      <c r="QEM189" s="16"/>
      <c r="QEN189" s="16"/>
      <c r="QEO189" s="16"/>
      <c r="QEP189" s="16"/>
      <c r="QEQ189" s="16"/>
      <c r="QER189" s="16"/>
      <c r="QES189" s="16"/>
      <c r="QET189" s="16"/>
      <c r="QEU189" s="16"/>
      <c r="QEV189" s="16"/>
      <c r="QEW189" s="16"/>
      <c r="QEX189" s="16"/>
      <c r="QEY189" s="16"/>
      <c r="QEZ189" s="16"/>
      <c r="QFA189" s="16"/>
      <c r="QFB189" s="16"/>
      <c r="QFC189" s="16"/>
      <c r="QFD189" s="16"/>
      <c r="QFE189" s="16"/>
      <c r="QFF189" s="16"/>
      <c r="QFG189" s="16"/>
      <c r="QFH189" s="16"/>
      <c r="QFI189" s="16"/>
      <c r="QFJ189" s="16"/>
      <c r="QFK189" s="16"/>
      <c r="QFL189" s="16"/>
      <c r="QFM189" s="16"/>
      <c r="QFN189" s="16"/>
      <c r="QFO189" s="16"/>
      <c r="QFP189" s="16"/>
      <c r="QFQ189" s="16"/>
      <c r="QFR189" s="16"/>
      <c r="QFS189" s="16"/>
      <c r="QFT189" s="16"/>
      <c r="QFU189" s="16"/>
      <c r="QFV189" s="16"/>
      <c r="QFW189" s="16"/>
      <c r="QFX189" s="16"/>
      <c r="QFY189" s="16"/>
      <c r="QFZ189" s="16"/>
      <c r="QGA189" s="16"/>
      <c r="QGB189" s="16"/>
      <c r="QGC189" s="16"/>
      <c r="QGD189" s="16"/>
      <c r="QGE189" s="16"/>
      <c r="QGF189" s="16"/>
      <c r="QGG189" s="16"/>
      <c r="QGH189" s="16"/>
      <c r="QGI189" s="16"/>
      <c r="QGJ189" s="16"/>
      <c r="QGK189" s="16"/>
      <c r="QGL189" s="16"/>
      <c r="QGM189" s="16"/>
      <c r="QGN189" s="16"/>
      <c r="QGO189" s="16"/>
      <c r="QGP189" s="16"/>
      <c r="QGQ189" s="16"/>
      <c r="QGR189" s="16"/>
      <c r="QGS189" s="16"/>
      <c r="QGT189" s="16"/>
      <c r="QGU189" s="16"/>
      <c r="QGV189" s="16"/>
      <c r="QGW189" s="16"/>
      <c r="QGX189" s="16"/>
      <c r="QGY189" s="16"/>
      <c r="QGZ189" s="16"/>
      <c r="QHA189" s="16"/>
      <c r="QHB189" s="16"/>
      <c r="QHC189" s="16"/>
      <c r="QHD189" s="16"/>
      <c r="QHE189" s="16"/>
      <c r="QHF189" s="16"/>
      <c r="QHG189" s="16"/>
      <c r="QHH189" s="16"/>
      <c r="QHI189" s="16"/>
      <c r="QHJ189" s="16"/>
      <c r="QHK189" s="16"/>
      <c r="QHL189" s="16"/>
      <c r="QHM189" s="16"/>
      <c r="QHN189" s="16"/>
      <c r="QHO189" s="16"/>
      <c r="QHP189" s="16"/>
      <c r="QHQ189" s="16"/>
      <c r="QHR189" s="16"/>
      <c r="QHS189" s="16"/>
      <c r="QHT189" s="16"/>
      <c r="QHU189" s="16"/>
      <c r="QHV189" s="16"/>
      <c r="QHW189" s="16"/>
      <c r="QHX189" s="16"/>
      <c r="QHY189" s="16"/>
      <c r="QHZ189" s="16"/>
      <c r="QIA189" s="16"/>
      <c r="QIB189" s="16"/>
      <c r="QIC189" s="16"/>
      <c r="QID189" s="16"/>
      <c r="QIE189" s="16"/>
      <c r="QIF189" s="16"/>
      <c r="QIG189" s="16"/>
      <c r="QIH189" s="16"/>
      <c r="QII189" s="16"/>
      <c r="QIJ189" s="16"/>
      <c r="QIK189" s="16"/>
      <c r="QIL189" s="16"/>
      <c r="QIM189" s="16"/>
      <c r="QIN189" s="16"/>
      <c r="QIO189" s="16"/>
      <c r="QIP189" s="16"/>
      <c r="QIQ189" s="16"/>
      <c r="QIR189" s="16"/>
      <c r="QIS189" s="16"/>
      <c r="QIT189" s="16"/>
      <c r="QIU189" s="16"/>
      <c r="QIV189" s="16"/>
      <c r="QIW189" s="16"/>
      <c r="QIX189" s="16"/>
      <c r="QIY189" s="16"/>
      <c r="QIZ189" s="16"/>
      <c r="QJA189" s="16"/>
      <c r="QJB189" s="16"/>
      <c r="QJC189" s="16"/>
      <c r="QJD189" s="16"/>
      <c r="QJE189" s="16"/>
      <c r="QJF189" s="16"/>
      <c r="QJG189" s="16"/>
      <c r="QJH189" s="16"/>
      <c r="QJI189" s="16"/>
      <c r="QJJ189" s="16"/>
      <c r="QJK189" s="16"/>
      <c r="QJL189" s="16"/>
      <c r="QJM189" s="16"/>
      <c r="QJN189" s="16"/>
      <c r="QJO189" s="16"/>
      <c r="QJP189" s="16"/>
      <c r="QJQ189" s="16"/>
      <c r="QJR189" s="16"/>
      <c r="QJS189" s="16"/>
      <c r="QJT189" s="16"/>
      <c r="QJU189" s="16"/>
      <c r="QJV189" s="16"/>
      <c r="QJW189" s="16"/>
      <c r="QJX189" s="16"/>
      <c r="QJY189" s="16"/>
      <c r="QJZ189" s="16"/>
      <c r="QKA189" s="16"/>
      <c r="QKB189" s="16"/>
      <c r="QKC189" s="16"/>
      <c r="QKD189" s="16"/>
      <c r="QKE189" s="16"/>
      <c r="QKF189" s="16"/>
      <c r="QKG189" s="16"/>
      <c r="QKH189" s="16"/>
      <c r="QKI189" s="16"/>
      <c r="QKJ189" s="16"/>
      <c r="QKK189" s="16"/>
      <c r="QKL189" s="16"/>
      <c r="QKM189" s="16"/>
      <c r="QKN189" s="16"/>
      <c r="QKO189" s="16"/>
      <c r="QKP189" s="16"/>
      <c r="QKQ189" s="16"/>
      <c r="QKR189" s="16"/>
      <c r="QKS189" s="16"/>
      <c r="QKT189" s="16"/>
      <c r="QKU189" s="16"/>
      <c r="QKV189" s="16"/>
      <c r="QKW189" s="16"/>
      <c r="QKX189" s="16"/>
      <c r="QKY189" s="16"/>
      <c r="QKZ189" s="16"/>
      <c r="QLA189" s="16"/>
      <c r="QLB189" s="16"/>
      <c r="QLC189" s="16"/>
      <c r="QLD189" s="16"/>
      <c r="QLE189" s="16"/>
      <c r="QLF189" s="16"/>
      <c r="QLG189" s="16"/>
      <c r="QLH189" s="16"/>
      <c r="QLI189" s="16"/>
      <c r="QLJ189" s="16"/>
      <c r="QLK189" s="16"/>
      <c r="QLL189" s="16"/>
      <c r="QLM189" s="16"/>
      <c r="QLN189" s="16"/>
      <c r="QLO189" s="16"/>
      <c r="QLP189" s="16"/>
      <c r="QLQ189" s="16"/>
      <c r="QLR189" s="16"/>
      <c r="QLS189" s="16"/>
      <c r="QLT189" s="16"/>
      <c r="QLU189" s="16"/>
      <c r="QLV189" s="16"/>
      <c r="QLW189" s="16"/>
      <c r="QLX189" s="16"/>
      <c r="QLY189" s="16"/>
      <c r="QLZ189" s="16"/>
      <c r="QMA189" s="16"/>
      <c r="QMB189" s="16"/>
      <c r="QMC189" s="16"/>
      <c r="QMD189" s="16"/>
      <c r="QME189" s="16"/>
      <c r="QMF189" s="16"/>
      <c r="QMG189" s="16"/>
      <c r="QMH189" s="16"/>
      <c r="QMI189" s="16"/>
      <c r="QMJ189" s="16"/>
      <c r="QMK189" s="16"/>
      <c r="QML189" s="16"/>
      <c r="QMM189" s="16"/>
      <c r="QMN189" s="16"/>
      <c r="QMO189" s="16"/>
      <c r="QMP189" s="16"/>
      <c r="QMQ189" s="16"/>
      <c r="QMR189" s="16"/>
      <c r="QMS189" s="16"/>
      <c r="QMT189" s="16"/>
      <c r="QMU189" s="16"/>
      <c r="QMV189" s="16"/>
      <c r="QMW189" s="16"/>
      <c r="QMX189" s="16"/>
      <c r="QMY189" s="16"/>
      <c r="QMZ189" s="16"/>
      <c r="QNA189" s="16"/>
      <c r="QNB189" s="16"/>
      <c r="QNC189" s="16"/>
      <c r="QND189" s="16"/>
      <c r="QNE189" s="16"/>
      <c r="QNF189" s="16"/>
      <c r="QNG189" s="16"/>
      <c r="QNH189" s="16"/>
      <c r="QNI189" s="16"/>
      <c r="QNJ189" s="16"/>
      <c r="QNK189" s="16"/>
      <c r="QNL189" s="16"/>
      <c r="QNM189" s="16"/>
      <c r="QNN189" s="16"/>
      <c r="QNO189" s="16"/>
      <c r="QNP189" s="16"/>
      <c r="QNQ189" s="16"/>
      <c r="QNR189" s="16"/>
      <c r="QNS189" s="16"/>
      <c r="QNT189" s="16"/>
      <c r="QNU189" s="16"/>
      <c r="QNV189" s="16"/>
      <c r="QNW189" s="16"/>
      <c r="QNX189" s="16"/>
      <c r="QNY189" s="16"/>
      <c r="QNZ189" s="16"/>
      <c r="QOA189" s="16"/>
      <c r="QOB189" s="16"/>
      <c r="QOC189" s="16"/>
      <c r="QOD189" s="16"/>
      <c r="QOE189" s="16"/>
      <c r="QOF189" s="16"/>
      <c r="QOG189" s="16"/>
      <c r="QOH189" s="16"/>
      <c r="QOI189" s="16"/>
      <c r="QOJ189" s="16"/>
      <c r="QOK189" s="16"/>
      <c r="QOL189" s="16"/>
      <c r="QOM189" s="16"/>
      <c r="QON189" s="16"/>
      <c r="QOO189" s="16"/>
      <c r="QOP189" s="16"/>
      <c r="QOQ189" s="16"/>
      <c r="QOR189" s="16"/>
      <c r="QOS189" s="16"/>
      <c r="QOT189" s="16"/>
      <c r="QOU189" s="16"/>
      <c r="QOV189" s="16"/>
      <c r="QOW189" s="16"/>
      <c r="QOX189" s="16"/>
      <c r="QOY189" s="16"/>
      <c r="QOZ189" s="16"/>
      <c r="QPA189" s="16"/>
      <c r="QPB189" s="16"/>
      <c r="QPC189" s="16"/>
      <c r="QPD189" s="16"/>
      <c r="QPE189" s="16"/>
      <c r="QPF189" s="16"/>
      <c r="QPG189" s="16"/>
      <c r="QPH189" s="16"/>
      <c r="QPI189" s="16"/>
      <c r="QPJ189" s="16"/>
      <c r="QPK189" s="16"/>
      <c r="QPL189" s="16"/>
      <c r="QPM189" s="16"/>
      <c r="QPN189" s="16"/>
      <c r="QPO189" s="16"/>
      <c r="QPP189" s="16"/>
      <c r="QPQ189" s="16"/>
      <c r="QPR189" s="16"/>
      <c r="QPS189" s="16"/>
      <c r="QPT189" s="16"/>
      <c r="QPU189" s="16"/>
      <c r="QPV189" s="16"/>
      <c r="QPW189" s="16"/>
      <c r="QPX189" s="16"/>
      <c r="QPY189" s="16"/>
      <c r="QPZ189" s="16"/>
      <c r="QQA189" s="16"/>
      <c r="QQB189" s="16"/>
      <c r="QQC189" s="16"/>
      <c r="QQD189" s="16"/>
      <c r="QQE189" s="16"/>
      <c r="QQF189" s="16"/>
      <c r="QQG189" s="16"/>
      <c r="QQH189" s="16"/>
      <c r="QQI189" s="16"/>
      <c r="QQJ189" s="16"/>
      <c r="QQK189" s="16"/>
      <c r="QQL189" s="16"/>
      <c r="QQM189" s="16"/>
      <c r="QQN189" s="16"/>
      <c r="QQO189" s="16"/>
      <c r="QQP189" s="16"/>
      <c r="QQQ189" s="16"/>
      <c r="QQR189" s="16"/>
      <c r="QQS189" s="16"/>
      <c r="QQT189" s="16"/>
      <c r="QQU189" s="16"/>
      <c r="QQV189" s="16"/>
      <c r="QQW189" s="16"/>
      <c r="QQX189" s="16"/>
      <c r="QQY189" s="16"/>
      <c r="QQZ189" s="16"/>
      <c r="QRA189" s="16"/>
      <c r="QRB189" s="16"/>
      <c r="QRC189" s="16"/>
      <c r="QRD189" s="16"/>
      <c r="QRE189" s="16"/>
      <c r="QRF189" s="16"/>
      <c r="QRG189" s="16"/>
      <c r="QRH189" s="16"/>
      <c r="QRI189" s="16"/>
      <c r="QRJ189" s="16"/>
      <c r="QRK189" s="16"/>
      <c r="QRL189" s="16"/>
      <c r="QRM189" s="16"/>
      <c r="QRN189" s="16"/>
      <c r="QRO189" s="16"/>
      <c r="QRP189" s="16"/>
      <c r="QRQ189" s="16"/>
      <c r="QRR189" s="16"/>
      <c r="QRS189" s="16"/>
      <c r="QRT189" s="16"/>
      <c r="QRU189" s="16"/>
      <c r="QRV189" s="16"/>
      <c r="QRW189" s="16"/>
      <c r="QRX189" s="16"/>
      <c r="QRY189" s="16"/>
      <c r="QRZ189" s="16"/>
      <c r="QSA189" s="16"/>
      <c r="QSB189" s="16"/>
      <c r="QSC189" s="16"/>
      <c r="QSD189" s="16"/>
      <c r="QSE189" s="16"/>
      <c r="QSF189" s="16"/>
      <c r="QSG189" s="16"/>
      <c r="QSH189" s="16"/>
      <c r="QSI189" s="16"/>
      <c r="QSJ189" s="16"/>
      <c r="QSK189" s="16"/>
      <c r="QSL189" s="16"/>
      <c r="QSM189" s="16"/>
      <c r="QSN189" s="16"/>
      <c r="QSO189" s="16"/>
      <c r="QSP189" s="16"/>
      <c r="QSQ189" s="16"/>
      <c r="QSR189" s="16"/>
      <c r="QSS189" s="16"/>
      <c r="QST189" s="16"/>
      <c r="QSU189" s="16"/>
      <c r="QSV189" s="16"/>
      <c r="QSW189" s="16"/>
      <c r="QSX189" s="16"/>
      <c r="QSY189" s="16"/>
      <c r="QSZ189" s="16"/>
      <c r="QTA189" s="16"/>
      <c r="QTB189" s="16"/>
      <c r="QTC189" s="16"/>
      <c r="QTD189" s="16"/>
      <c r="QTE189" s="16"/>
      <c r="QTF189" s="16"/>
      <c r="QTG189" s="16"/>
      <c r="QTH189" s="16"/>
      <c r="QTI189" s="16"/>
      <c r="QTJ189" s="16"/>
      <c r="QTK189" s="16"/>
      <c r="QTL189" s="16"/>
      <c r="QTM189" s="16"/>
      <c r="QTN189" s="16"/>
      <c r="QTO189" s="16"/>
      <c r="QTP189" s="16"/>
      <c r="QTQ189" s="16"/>
      <c r="QTR189" s="16"/>
      <c r="QTS189" s="16"/>
      <c r="QTT189" s="16"/>
      <c r="QTU189" s="16"/>
      <c r="QTV189" s="16"/>
      <c r="QTW189" s="16"/>
      <c r="QTX189" s="16"/>
      <c r="QTY189" s="16"/>
      <c r="QTZ189" s="16"/>
      <c r="QUA189" s="16"/>
      <c r="QUB189" s="16"/>
      <c r="QUC189" s="16"/>
      <c r="QUD189" s="16"/>
      <c r="QUE189" s="16"/>
      <c r="QUF189" s="16"/>
      <c r="QUG189" s="16"/>
      <c r="QUH189" s="16"/>
      <c r="QUI189" s="16"/>
      <c r="QUJ189" s="16"/>
      <c r="QUK189" s="16"/>
      <c r="QUL189" s="16"/>
      <c r="QUM189" s="16"/>
      <c r="QUN189" s="16"/>
      <c r="QUO189" s="16"/>
      <c r="QUP189" s="16"/>
      <c r="QUQ189" s="16"/>
      <c r="QUR189" s="16"/>
      <c r="QUS189" s="16"/>
      <c r="QUT189" s="16"/>
      <c r="QUU189" s="16"/>
      <c r="QUV189" s="16"/>
      <c r="QUW189" s="16"/>
      <c r="QUX189" s="16"/>
      <c r="QUY189" s="16"/>
      <c r="QUZ189" s="16"/>
      <c r="QVA189" s="16"/>
      <c r="QVB189" s="16"/>
      <c r="QVC189" s="16"/>
      <c r="QVD189" s="16"/>
      <c r="QVE189" s="16"/>
      <c r="QVF189" s="16"/>
      <c r="QVG189" s="16"/>
      <c r="QVH189" s="16"/>
      <c r="QVI189" s="16"/>
      <c r="QVJ189" s="16"/>
      <c r="QVK189" s="16"/>
      <c r="QVL189" s="16"/>
      <c r="QVM189" s="16"/>
      <c r="QVN189" s="16"/>
      <c r="QVO189" s="16"/>
      <c r="QVP189" s="16"/>
      <c r="QVQ189" s="16"/>
      <c r="QVR189" s="16"/>
      <c r="QVS189" s="16"/>
      <c r="QVT189" s="16"/>
      <c r="QVU189" s="16"/>
      <c r="QVV189" s="16"/>
      <c r="QVW189" s="16"/>
      <c r="QVX189" s="16"/>
      <c r="QVY189" s="16"/>
      <c r="QVZ189" s="16"/>
      <c r="QWA189" s="16"/>
      <c r="QWB189" s="16"/>
      <c r="QWC189" s="16"/>
      <c r="QWD189" s="16"/>
      <c r="QWE189" s="16"/>
      <c r="QWF189" s="16"/>
      <c r="QWG189" s="16"/>
      <c r="QWH189" s="16"/>
      <c r="QWI189" s="16"/>
      <c r="QWJ189" s="16"/>
      <c r="QWK189" s="16"/>
      <c r="QWL189" s="16"/>
      <c r="QWM189" s="16"/>
      <c r="QWN189" s="16"/>
      <c r="QWO189" s="16"/>
      <c r="QWP189" s="16"/>
      <c r="QWQ189" s="16"/>
      <c r="QWR189" s="16"/>
      <c r="QWS189" s="16"/>
      <c r="QWT189" s="16"/>
      <c r="QWU189" s="16"/>
      <c r="QWV189" s="16"/>
      <c r="QWW189" s="16"/>
      <c r="QWX189" s="16"/>
      <c r="QWY189" s="16"/>
      <c r="QWZ189" s="16"/>
      <c r="QXA189" s="16"/>
      <c r="QXB189" s="16"/>
      <c r="QXC189" s="16"/>
      <c r="QXD189" s="16"/>
      <c r="QXE189" s="16"/>
      <c r="QXF189" s="16"/>
      <c r="QXG189" s="16"/>
      <c r="QXH189" s="16"/>
      <c r="QXI189" s="16"/>
      <c r="QXJ189" s="16"/>
      <c r="QXK189" s="16"/>
      <c r="QXL189" s="16"/>
      <c r="QXM189" s="16"/>
      <c r="QXN189" s="16"/>
      <c r="QXO189" s="16"/>
      <c r="QXP189" s="16"/>
      <c r="QXQ189" s="16"/>
      <c r="QXR189" s="16"/>
      <c r="QXS189" s="16"/>
      <c r="QXT189" s="16"/>
      <c r="QXU189" s="16"/>
      <c r="QXV189" s="16"/>
      <c r="QXW189" s="16"/>
      <c r="QXX189" s="16"/>
      <c r="QXY189" s="16"/>
      <c r="QXZ189" s="16"/>
      <c r="QYA189" s="16"/>
      <c r="QYB189" s="16"/>
      <c r="QYC189" s="16"/>
      <c r="QYD189" s="16"/>
      <c r="QYE189" s="16"/>
      <c r="QYF189" s="16"/>
      <c r="QYG189" s="16"/>
      <c r="QYH189" s="16"/>
      <c r="QYI189" s="16"/>
      <c r="QYJ189" s="16"/>
      <c r="QYK189" s="16"/>
      <c r="QYL189" s="16"/>
      <c r="QYM189" s="16"/>
      <c r="QYN189" s="16"/>
      <c r="QYO189" s="16"/>
      <c r="QYP189" s="16"/>
      <c r="QYQ189" s="16"/>
      <c r="QYR189" s="16"/>
      <c r="QYS189" s="16"/>
      <c r="QYT189" s="16"/>
      <c r="QYU189" s="16"/>
      <c r="QYV189" s="16"/>
      <c r="QYW189" s="16"/>
      <c r="QYX189" s="16"/>
      <c r="QYY189" s="16"/>
      <c r="QYZ189" s="16"/>
      <c r="QZA189" s="16"/>
      <c r="QZB189" s="16"/>
      <c r="QZC189" s="16"/>
      <c r="QZD189" s="16"/>
      <c r="QZE189" s="16"/>
      <c r="QZF189" s="16"/>
      <c r="QZG189" s="16"/>
      <c r="QZH189" s="16"/>
      <c r="QZI189" s="16"/>
      <c r="QZJ189" s="16"/>
      <c r="QZK189" s="16"/>
      <c r="QZL189" s="16"/>
      <c r="QZM189" s="16"/>
      <c r="QZN189" s="16"/>
      <c r="QZO189" s="16"/>
      <c r="QZP189" s="16"/>
      <c r="QZQ189" s="16"/>
      <c r="QZR189" s="16"/>
      <c r="QZS189" s="16"/>
      <c r="QZT189" s="16"/>
      <c r="QZU189" s="16"/>
      <c r="QZV189" s="16"/>
      <c r="QZW189" s="16"/>
      <c r="QZX189" s="16"/>
      <c r="QZY189" s="16"/>
      <c r="QZZ189" s="16"/>
      <c r="RAA189" s="16"/>
      <c r="RAB189" s="16"/>
      <c r="RAC189" s="16"/>
      <c r="RAD189" s="16"/>
      <c r="RAE189" s="16"/>
      <c r="RAF189" s="16"/>
      <c r="RAG189" s="16"/>
      <c r="RAH189" s="16"/>
      <c r="RAI189" s="16"/>
      <c r="RAJ189" s="16"/>
      <c r="RAK189" s="16"/>
      <c r="RAL189" s="16"/>
      <c r="RAM189" s="16"/>
      <c r="RAN189" s="16"/>
      <c r="RAO189" s="16"/>
      <c r="RAP189" s="16"/>
      <c r="RAQ189" s="16"/>
      <c r="RAR189" s="16"/>
      <c r="RAS189" s="16"/>
      <c r="RAT189" s="16"/>
      <c r="RAU189" s="16"/>
      <c r="RAV189" s="16"/>
      <c r="RAW189" s="16"/>
      <c r="RAX189" s="16"/>
      <c r="RAY189" s="16"/>
      <c r="RAZ189" s="16"/>
      <c r="RBA189" s="16"/>
      <c r="RBB189" s="16"/>
      <c r="RBC189" s="16"/>
      <c r="RBD189" s="16"/>
      <c r="RBE189" s="16"/>
      <c r="RBF189" s="16"/>
      <c r="RBG189" s="16"/>
      <c r="RBH189" s="16"/>
      <c r="RBI189" s="16"/>
      <c r="RBJ189" s="16"/>
      <c r="RBK189" s="16"/>
      <c r="RBL189" s="16"/>
      <c r="RBM189" s="16"/>
      <c r="RBN189" s="16"/>
      <c r="RBO189" s="16"/>
      <c r="RBP189" s="16"/>
      <c r="RBQ189" s="16"/>
      <c r="RBR189" s="16"/>
      <c r="RBS189" s="16"/>
      <c r="RBT189" s="16"/>
      <c r="RBU189" s="16"/>
      <c r="RBV189" s="16"/>
      <c r="RBW189" s="16"/>
      <c r="RBX189" s="16"/>
      <c r="RBY189" s="16"/>
      <c r="RBZ189" s="16"/>
      <c r="RCA189" s="16"/>
      <c r="RCB189" s="16"/>
      <c r="RCC189" s="16"/>
      <c r="RCD189" s="16"/>
      <c r="RCE189" s="16"/>
      <c r="RCF189" s="16"/>
      <c r="RCG189" s="16"/>
      <c r="RCH189" s="16"/>
      <c r="RCI189" s="16"/>
      <c r="RCJ189" s="16"/>
      <c r="RCK189" s="16"/>
      <c r="RCL189" s="16"/>
      <c r="RCM189" s="16"/>
      <c r="RCN189" s="16"/>
      <c r="RCO189" s="16"/>
      <c r="RCP189" s="16"/>
      <c r="RCQ189" s="16"/>
      <c r="RCR189" s="16"/>
      <c r="RCS189" s="16"/>
      <c r="RCT189" s="16"/>
      <c r="RCU189" s="16"/>
      <c r="RCV189" s="16"/>
      <c r="RCW189" s="16"/>
      <c r="RCX189" s="16"/>
      <c r="RCY189" s="16"/>
      <c r="RCZ189" s="16"/>
      <c r="RDA189" s="16"/>
      <c r="RDB189" s="16"/>
      <c r="RDC189" s="16"/>
      <c r="RDD189" s="16"/>
      <c r="RDE189" s="16"/>
      <c r="RDF189" s="16"/>
      <c r="RDG189" s="16"/>
      <c r="RDH189" s="16"/>
      <c r="RDI189" s="16"/>
      <c r="RDJ189" s="16"/>
      <c r="RDK189" s="16"/>
      <c r="RDL189" s="16"/>
      <c r="RDM189" s="16"/>
      <c r="RDN189" s="16"/>
      <c r="RDO189" s="16"/>
      <c r="RDP189" s="16"/>
      <c r="RDQ189" s="16"/>
      <c r="RDR189" s="16"/>
      <c r="RDS189" s="16"/>
      <c r="RDT189" s="16"/>
      <c r="RDU189" s="16"/>
      <c r="RDV189" s="16"/>
      <c r="RDW189" s="16"/>
      <c r="RDX189" s="16"/>
      <c r="RDY189" s="16"/>
      <c r="RDZ189" s="16"/>
      <c r="REA189" s="16"/>
      <c r="REB189" s="16"/>
      <c r="REC189" s="16"/>
      <c r="RED189" s="16"/>
      <c r="REE189" s="16"/>
      <c r="REF189" s="16"/>
      <c r="REG189" s="16"/>
      <c r="REH189" s="16"/>
      <c r="REI189" s="16"/>
      <c r="REJ189" s="16"/>
      <c r="REK189" s="16"/>
      <c r="REL189" s="16"/>
      <c r="REM189" s="16"/>
      <c r="REN189" s="16"/>
      <c r="REO189" s="16"/>
      <c r="REP189" s="16"/>
      <c r="REQ189" s="16"/>
      <c r="RER189" s="16"/>
      <c r="RES189" s="16"/>
      <c r="RET189" s="16"/>
      <c r="REU189" s="16"/>
      <c r="REV189" s="16"/>
      <c r="REW189" s="16"/>
      <c r="REX189" s="16"/>
      <c r="REY189" s="16"/>
      <c r="REZ189" s="16"/>
      <c r="RFA189" s="16"/>
      <c r="RFB189" s="16"/>
      <c r="RFC189" s="16"/>
      <c r="RFD189" s="16"/>
      <c r="RFE189" s="16"/>
      <c r="RFF189" s="16"/>
      <c r="RFG189" s="16"/>
      <c r="RFH189" s="16"/>
      <c r="RFI189" s="16"/>
      <c r="RFJ189" s="16"/>
      <c r="RFK189" s="16"/>
      <c r="RFL189" s="16"/>
      <c r="RFM189" s="16"/>
      <c r="RFN189" s="16"/>
      <c r="RFO189" s="16"/>
      <c r="RFP189" s="16"/>
      <c r="RFQ189" s="16"/>
      <c r="RFR189" s="16"/>
      <c r="RFS189" s="16"/>
      <c r="RFT189" s="16"/>
      <c r="RFU189" s="16"/>
      <c r="RFV189" s="16"/>
      <c r="RFW189" s="16"/>
      <c r="RFX189" s="16"/>
      <c r="RFY189" s="16"/>
      <c r="RFZ189" s="16"/>
      <c r="RGA189" s="16"/>
      <c r="RGB189" s="16"/>
      <c r="RGC189" s="16"/>
      <c r="RGD189" s="16"/>
      <c r="RGE189" s="16"/>
      <c r="RGF189" s="16"/>
      <c r="RGG189" s="16"/>
      <c r="RGH189" s="16"/>
      <c r="RGI189" s="16"/>
      <c r="RGJ189" s="16"/>
      <c r="RGK189" s="16"/>
      <c r="RGL189" s="16"/>
      <c r="RGM189" s="16"/>
      <c r="RGN189" s="16"/>
      <c r="RGO189" s="16"/>
      <c r="RGP189" s="16"/>
      <c r="RGQ189" s="16"/>
      <c r="RGR189" s="16"/>
      <c r="RGS189" s="16"/>
      <c r="RGT189" s="16"/>
      <c r="RGU189" s="16"/>
      <c r="RGV189" s="16"/>
      <c r="RGW189" s="16"/>
      <c r="RGX189" s="16"/>
      <c r="RGY189" s="16"/>
      <c r="RGZ189" s="16"/>
      <c r="RHA189" s="16"/>
      <c r="RHB189" s="16"/>
      <c r="RHC189" s="16"/>
      <c r="RHD189" s="16"/>
      <c r="RHE189" s="16"/>
      <c r="RHF189" s="16"/>
      <c r="RHG189" s="16"/>
      <c r="RHH189" s="16"/>
      <c r="RHI189" s="16"/>
      <c r="RHJ189" s="16"/>
      <c r="RHK189" s="16"/>
      <c r="RHL189" s="16"/>
      <c r="RHM189" s="16"/>
      <c r="RHN189" s="16"/>
      <c r="RHO189" s="16"/>
      <c r="RHP189" s="16"/>
      <c r="RHQ189" s="16"/>
      <c r="RHR189" s="16"/>
      <c r="RHS189" s="16"/>
      <c r="RHT189" s="16"/>
      <c r="RHU189" s="16"/>
      <c r="RHV189" s="16"/>
      <c r="RHW189" s="16"/>
      <c r="RHX189" s="16"/>
      <c r="RHY189" s="16"/>
      <c r="RHZ189" s="16"/>
      <c r="RIA189" s="16"/>
      <c r="RIB189" s="16"/>
      <c r="RIC189" s="16"/>
      <c r="RID189" s="16"/>
      <c r="RIE189" s="16"/>
      <c r="RIF189" s="16"/>
      <c r="RIG189" s="16"/>
      <c r="RIH189" s="16"/>
      <c r="RII189" s="16"/>
      <c r="RIJ189" s="16"/>
      <c r="RIK189" s="16"/>
      <c r="RIL189" s="16"/>
      <c r="RIM189" s="16"/>
      <c r="RIN189" s="16"/>
      <c r="RIO189" s="16"/>
      <c r="RIP189" s="16"/>
      <c r="RIQ189" s="16"/>
      <c r="RIR189" s="16"/>
      <c r="RIS189" s="16"/>
      <c r="RIT189" s="16"/>
      <c r="RIU189" s="16"/>
      <c r="RIV189" s="16"/>
      <c r="RIW189" s="16"/>
      <c r="RIX189" s="16"/>
      <c r="RIY189" s="16"/>
      <c r="RIZ189" s="16"/>
      <c r="RJA189" s="16"/>
      <c r="RJB189" s="16"/>
      <c r="RJC189" s="16"/>
      <c r="RJD189" s="16"/>
      <c r="RJE189" s="16"/>
      <c r="RJF189" s="16"/>
      <c r="RJG189" s="16"/>
      <c r="RJH189" s="16"/>
      <c r="RJI189" s="16"/>
      <c r="RJJ189" s="16"/>
      <c r="RJK189" s="16"/>
      <c r="RJL189" s="16"/>
      <c r="RJM189" s="16"/>
      <c r="RJN189" s="16"/>
      <c r="RJO189" s="16"/>
      <c r="RJP189" s="16"/>
      <c r="RJQ189" s="16"/>
      <c r="RJR189" s="16"/>
      <c r="RJS189" s="16"/>
      <c r="RJT189" s="16"/>
      <c r="RJU189" s="16"/>
      <c r="RJV189" s="16"/>
      <c r="RJW189" s="16"/>
      <c r="RJX189" s="16"/>
      <c r="RJY189" s="16"/>
      <c r="RJZ189" s="16"/>
      <c r="RKA189" s="16"/>
      <c r="RKB189" s="16"/>
      <c r="RKC189" s="16"/>
      <c r="RKD189" s="16"/>
      <c r="RKE189" s="16"/>
      <c r="RKF189" s="16"/>
      <c r="RKG189" s="16"/>
      <c r="RKH189" s="16"/>
      <c r="RKI189" s="16"/>
      <c r="RKJ189" s="16"/>
      <c r="RKK189" s="16"/>
      <c r="RKL189" s="16"/>
      <c r="RKM189" s="16"/>
      <c r="RKN189" s="16"/>
      <c r="RKO189" s="16"/>
      <c r="RKP189" s="16"/>
      <c r="RKQ189" s="16"/>
      <c r="RKR189" s="16"/>
      <c r="RKS189" s="16"/>
      <c r="RKT189" s="16"/>
      <c r="RKU189" s="16"/>
      <c r="RKV189" s="16"/>
      <c r="RKW189" s="16"/>
      <c r="RKX189" s="16"/>
      <c r="RKY189" s="16"/>
      <c r="RKZ189" s="16"/>
      <c r="RLA189" s="16"/>
      <c r="RLB189" s="16"/>
      <c r="RLC189" s="16"/>
      <c r="RLD189" s="16"/>
      <c r="RLE189" s="16"/>
      <c r="RLF189" s="16"/>
      <c r="RLG189" s="16"/>
      <c r="RLH189" s="16"/>
      <c r="RLI189" s="16"/>
      <c r="RLJ189" s="16"/>
      <c r="RLK189" s="16"/>
      <c r="RLL189" s="16"/>
      <c r="RLM189" s="16"/>
      <c r="RLN189" s="16"/>
      <c r="RLO189" s="16"/>
      <c r="RLP189" s="16"/>
      <c r="RLQ189" s="16"/>
      <c r="RLR189" s="16"/>
      <c r="RLS189" s="16"/>
      <c r="RLT189" s="16"/>
      <c r="RLU189" s="16"/>
      <c r="RLV189" s="16"/>
      <c r="RLW189" s="16"/>
      <c r="RLX189" s="16"/>
      <c r="RLY189" s="16"/>
      <c r="RLZ189" s="16"/>
      <c r="RMA189" s="16"/>
      <c r="RMB189" s="16"/>
      <c r="RMC189" s="16"/>
      <c r="RMD189" s="16"/>
      <c r="RME189" s="16"/>
      <c r="RMF189" s="16"/>
      <c r="RMG189" s="16"/>
      <c r="RMH189" s="16"/>
      <c r="RMI189" s="16"/>
      <c r="RMJ189" s="16"/>
      <c r="RMK189" s="16"/>
      <c r="RML189" s="16"/>
      <c r="RMM189" s="16"/>
      <c r="RMN189" s="16"/>
      <c r="RMO189" s="16"/>
      <c r="RMP189" s="16"/>
      <c r="RMQ189" s="16"/>
      <c r="RMR189" s="16"/>
      <c r="RMS189" s="16"/>
      <c r="RMT189" s="16"/>
      <c r="RMU189" s="16"/>
      <c r="RMV189" s="16"/>
      <c r="RMW189" s="16"/>
      <c r="RMX189" s="16"/>
      <c r="RMY189" s="16"/>
      <c r="RMZ189" s="16"/>
      <c r="RNA189" s="16"/>
      <c r="RNB189" s="16"/>
      <c r="RNC189" s="16"/>
      <c r="RND189" s="16"/>
      <c r="RNE189" s="16"/>
      <c r="RNF189" s="16"/>
      <c r="RNG189" s="16"/>
      <c r="RNH189" s="16"/>
      <c r="RNI189" s="16"/>
      <c r="RNJ189" s="16"/>
      <c r="RNK189" s="16"/>
      <c r="RNL189" s="16"/>
      <c r="RNM189" s="16"/>
      <c r="RNN189" s="16"/>
      <c r="RNO189" s="16"/>
      <c r="RNP189" s="16"/>
      <c r="RNQ189" s="16"/>
      <c r="RNR189" s="16"/>
      <c r="RNS189" s="16"/>
      <c r="RNT189" s="16"/>
      <c r="RNU189" s="16"/>
      <c r="RNV189" s="16"/>
      <c r="RNW189" s="16"/>
      <c r="RNX189" s="16"/>
      <c r="RNY189" s="16"/>
      <c r="RNZ189" s="16"/>
      <c r="ROA189" s="16"/>
      <c r="ROB189" s="16"/>
      <c r="ROC189" s="16"/>
      <c r="ROD189" s="16"/>
      <c r="ROE189" s="16"/>
      <c r="ROF189" s="16"/>
      <c r="ROG189" s="16"/>
      <c r="ROH189" s="16"/>
      <c r="ROI189" s="16"/>
      <c r="ROJ189" s="16"/>
      <c r="ROK189" s="16"/>
      <c r="ROL189" s="16"/>
      <c r="ROM189" s="16"/>
      <c r="RON189" s="16"/>
      <c r="ROO189" s="16"/>
      <c r="ROP189" s="16"/>
      <c r="ROQ189" s="16"/>
      <c r="ROR189" s="16"/>
      <c r="ROS189" s="16"/>
      <c r="ROT189" s="16"/>
      <c r="ROU189" s="16"/>
      <c r="ROV189" s="16"/>
      <c r="ROW189" s="16"/>
      <c r="ROX189" s="16"/>
      <c r="ROY189" s="16"/>
      <c r="ROZ189" s="16"/>
      <c r="RPA189" s="16"/>
      <c r="RPB189" s="16"/>
      <c r="RPC189" s="16"/>
      <c r="RPD189" s="16"/>
      <c r="RPE189" s="16"/>
      <c r="RPF189" s="16"/>
      <c r="RPG189" s="16"/>
      <c r="RPH189" s="16"/>
      <c r="RPI189" s="16"/>
      <c r="RPJ189" s="16"/>
      <c r="RPK189" s="16"/>
      <c r="RPL189" s="16"/>
      <c r="RPM189" s="16"/>
      <c r="RPN189" s="16"/>
      <c r="RPO189" s="16"/>
      <c r="RPP189" s="16"/>
      <c r="RPQ189" s="16"/>
      <c r="RPR189" s="16"/>
      <c r="RPS189" s="16"/>
      <c r="RPT189" s="16"/>
      <c r="RPU189" s="16"/>
      <c r="RPV189" s="16"/>
      <c r="RPW189" s="16"/>
      <c r="RPX189" s="16"/>
      <c r="RPY189" s="16"/>
      <c r="RPZ189" s="16"/>
      <c r="RQA189" s="16"/>
      <c r="RQB189" s="16"/>
      <c r="RQC189" s="16"/>
      <c r="RQD189" s="16"/>
      <c r="RQE189" s="16"/>
      <c r="RQF189" s="16"/>
      <c r="RQG189" s="16"/>
      <c r="RQH189" s="16"/>
      <c r="RQI189" s="16"/>
      <c r="RQJ189" s="16"/>
      <c r="RQK189" s="16"/>
      <c r="RQL189" s="16"/>
      <c r="RQM189" s="16"/>
      <c r="RQN189" s="16"/>
      <c r="RQO189" s="16"/>
      <c r="RQP189" s="16"/>
      <c r="RQQ189" s="16"/>
      <c r="RQR189" s="16"/>
      <c r="RQS189" s="16"/>
      <c r="RQT189" s="16"/>
      <c r="RQU189" s="16"/>
      <c r="RQV189" s="16"/>
      <c r="RQW189" s="16"/>
      <c r="RQX189" s="16"/>
      <c r="RQY189" s="16"/>
      <c r="RQZ189" s="16"/>
      <c r="RRA189" s="16"/>
      <c r="RRB189" s="16"/>
      <c r="RRC189" s="16"/>
      <c r="RRD189" s="16"/>
      <c r="RRE189" s="16"/>
      <c r="RRF189" s="16"/>
      <c r="RRG189" s="16"/>
      <c r="RRH189" s="16"/>
      <c r="RRI189" s="16"/>
      <c r="RRJ189" s="16"/>
      <c r="RRK189" s="16"/>
      <c r="RRL189" s="16"/>
      <c r="RRM189" s="16"/>
      <c r="RRN189" s="16"/>
      <c r="RRO189" s="16"/>
      <c r="RRP189" s="16"/>
      <c r="RRQ189" s="16"/>
      <c r="RRR189" s="16"/>
      <c r="RRS189" s="16"/>
      <c r="RRT189" s="16"/>
      <c r="RRU189" s="16"/>
      <c r="RRV189" s="16"/>
      <c r="RRW189" s="16"/>
      <c r="RRX189" s="16"/>
      <c r="RRY189" s="16"/>
      <c r="RRZ189" s="16"/>
      <c r="RSA189" s="16"/>
      <c r="RSB189" s="16"/>
      <c r="RSC189" s="16"/>
      <c r="RSD189" s="16"/>
      <c r="RSE189" s="16"/>
      <c r="RSF189" s="16"/>
      <c r="RSG189" s="16"/>
      <c r="RSH189" s="16"/>
      <c r="RSI189" s="16"/>
      <c r="RSJ189" s="16"/>
      <c r="RSK189" s="16"/>
      <c r="RSL189" s="16"/>
      <c r="RSM189" s="16"/>
      <c r="RSN189" s="16"/>
      <c r="RSO189" s="16"/>
      <c r="RSP189" s="16"/>
      <c r="RSQ189" s="16"/>
      <c r="RSR189" s="16"/>
      <c r="RSS189" s="16"/>
      <c r="RST189" s="16"/>
      <c r="RSU189" s="16"/>
      <c r="RSV189" s="16"/>
      <c r="RSW189" s="16"/>
      <c r="RSX189" s="16"/>
      <c r="RSY189" s="16"/>
      <c r="RSZ189" s="16"/>
      <c r="RTA189" s="16"/>
      <c r="RTB189" s="16"/>
      <c r="RTC189" s="16"/>
      <c r="RTD189" s="16"/>
      <c r="RTE189" s="16"/>
      <c r="RTF189" s="16"/>
      <c r="RTG189" s="16"/>
      <c r="RTH189" s="16"/>
      <c r="RTI189" s="16"/>
      <c r="RTJ189" s="16"/>
      <c r="RTK189" s="16"/>
      <c r="RTL189" s="16"/>
      <c r="RTM189" s="16"/>
      <c r="RTN189" s="16"/>
      <c r="RTO189" s="16"/>
      <c r="RTP189" s="16"/>
      <c r="RTQ189" s="16"/>
      <c r="RTR189" s="16"/>
      <c r="RTS189" s="16"/>
      <c r="RTT189" s="16"/>
      <c r="RTU189" s="16"/>
      <c r="RTV189" s="16"/>
      <c r="RTW189" s="16"/>
      <c r="RTX189" s="16"/>
      <c r="RTY189" s="16"/>
      <c r="RTZ189" s="16"/>
      <c r="RUA189" s="16"/>
      <c r="RUB189" s="16"/>
      <c r="RUC189" s="16"/>
      <c r="RUD189" s="16"/>
      <c r="RUE189" s="16"/>
      <c r="RUF189" s="16"/>
      <c r="RUG189" s="16"/>
      <c r="RUH189" s="16"/>
      <c r="RUI189" s="16"/>
      <c r="RUJ189" s="16"/>
      <c r="RUK189" s="16"/>
      <c r="RUL189" s="16"/>
      <c r="RUM189" s="16"/>
      <c r="RUN189" s="16"/>
      <c r="RUO189" s="16"/>
      <c r="RUP189" s="16"/>
      <c r="RUQ189" s="16"/>
      <c r="RUR189" s="16"/>
      <c r="RUS189" s="16"/>
      <c r="RUT189" s="16"/>
      <c r="RUU189" s="16"/>
      <c r="RUV189" s="16"/>
      <c r="RUW189" s="16"/>
      <c r="RUX189" s="16"/>
      <c r="RUY189" s="16"/>
      <c r="RUZ189" s="16"/>
      <c r="RVA189" s="16"/>
      <c r="RVB189" s="16"/>
      <c r="RVC189" s="16"/>
      <c r="RVD189" s="16"/>
      <c r="RVE189" s="16"/>
      <c r="RVF189" s="16"/>
      <c r="RVG189" s="16"/>
      <c r="RVH189" s="16"/>
      <c r="RVI189" s="16"/>
      <c r="RVJ189" s="16"/>
      <c r="RVK189" s="16"/>
      <c r="RVL189" s="16"/>
      <c r="RVM189" s="16"/>
      <c r="RVN189" s="16"/>
      <c r="RVO189" s="16"/>
      <c r="RVP189" s="16"/>
      <c r="RVQ189" s="16"/>
      <c r="RVR189" s="16"/>
      <c r="RVS189" s="16"/>
      <c r="RVT189" s="16"/>
      <c r="RVU189" s="16"/>
      <c r="RVV189" s="16"/>
      <c r="RVW189" s="16"/>
      <c r="RVX189" s="16"/>
      <c r="RVY189" s="16"/>
      <c r="RVZ189" s="16"/>
      <c r="RWA189" s="16"/>
      <c r="RWB189" s="16"/>
      <c r="RWC189" s="16"/>
      <c r="RWD189" s="16"/>
      <c r="RWE189" s="16"/>
      <c r="RWF189" s="16"/>
      <c r="RWG189" s="16"/>
      <c r="RWH189" s="16"/>
      <c r="RWI189" s="16"/>
      <c r="RWJ189" s="16"/>
      <c r="RWK189" s="16"/>
      <c r="RWL189" s="16"/>
      <c r="RWM189" s="16"/>
      <c r="RWN189" s="16"/>
      <c r="RWO189" s="16"/>
      <c r="RWP189" s="16"/>
      <c r="RWQ189" s="16"/>
      <c r="RWR189" s="16"/>
      <c r="RWS189" s="16"/>
      <c r="RWT189" s="16"/>
      <c r="RWU189" s="16"/>
      <c r="RWV189" s="16"/>
      <c r="RWW189" s="16"/>
      <c r="RWX189" s="16"/>
      <c r="RWY189" s="16"/>
      <c r="RWZ189" s="16"/>
      <c r="RXA189" s="16"/>
      <c r="RXB189" s="16"/>
      <c r="RXC189" s="16"/>
      <c r="RXD189" s="16"/>
      <c r="RXE189" s="16"/>
      <c r="RXF189" s="16"/>
      <c r="RXG189" s="16"/>
      <c r="RXH189" s="16"/>
      <c r="RXI189" s="16"/>
      <c r="RXJ189" s="16"/>
      <c r="RXK189" s="16"/>
      <c r="RXL189" s="16"/>
      <c r="RXM189" s="16"/>
      <c r="RXN189" s="16"/>
      <c r="RXO189" s="16"/>
      <c r="RXP189" s="16"/>
      <c r="RXQ189" s="16"/>
      <c r="RXR189" s="16"/>
      <c r="RXS189" s="16"/>
      <c r="RXT189" s="16"/>
      <c r="RXU189" s="16"/>
      <c r="RXV189" s="16"/>
      <c r="RXW189" s="16"/>
      <c r="RXX189" s="16"/>
      <c r="RXY189" s="16"/>
      <c r="RXZ189" s="16"/>
      <c r="RYA189" s="16"/>
      <c r="RYB189" s="16"/>
      <c r="RYC189" s="16"/>
      <c r="RYD189" s="16"/>
      <c r="RYE189" s="16"/>
      <c r="RYF189" s="16"/>
      <c r="RYG189" s="16"/>
      <c r="RYH189" s="16"/>
      <c r="RYI189" s="16"/>
      <c r="RYJ189" s="16"/>
      <c r="RYK189" s="16"/>
      <c r="RYL189" s="16"/>
      <c r="RYM189" s="16"/>
      <c r="RYN189" s="16"/>
      <c r="RYO189" s="16"/>
      <c r="RYP189" s="16"/>
      <c r="RYQ189" s="16"/>
      <c r="RYR189" s="16"/>
      <c r="RYS189" s="16"/>
      <c r="RYT189" s="16"/>
      <c r="RYU189" s="16"/>
      <c r="RYV189" s="16"/>
      <c r="RYW189" s="16"/>
      <c r="RYX189" s="16"/>
      <c r="RYY189" s="16"/>
      <c r="RYZ189" s="16"/>
      <c r="RZA189" s="16"/>
      <c r="RZB189" s="16"/>
      <c r="RZC189" s="16"/>
      <c r="RZD189" s="16"/>
      <c r="RZE189" s="16"/>
      <c r="RZF189" s="16"/>
      <c r="RZG189" s="16"/>
      <c r="RZH189" s="16"/>
      <c r="RZI189" s="16"/>
      <c r="RZJ189" s="16"/>
      <c r="RZK189" s="16"/>
      <c r="RZL189" s="16"/>
      <c r="RZM189" s="16"/>
      <c r="RZN189" s="16"/>
      <c r="RZO189" s="16"/>
      <c r="RZP189" s="16"/>
      <c r="RZQ189" s="16"/>
      <c r="RZR189" s="16"/>
      <c r="RZS189" s="16"/>
      <c r="RZT189" s="16"/>
      <c r="RZU189" s="16"/>
      <c r="RZV189" s="16"/>
      <c r="RZW189" s="16"/>
      <c r="RZX189" s="16"/>
      <c r="RZY189" s="16"/>
      <c r="RZZ189" s="16"/>
      <c r="SAA189" s="16"/>
      <c r="SAB189" s="16"/>
      <c r="SAC189" s="16"/>
      <c r="SAD189" s="16"/>
      <c r="SAE189" s="16"/>
      <c r="SAF189" s="16"/>
      <c r="SAG189" s="16"/>
      <c r="SAH189" s="16"/>
      <c r="SAI189" s="16"/>
      <c r="SAJ189" s="16"/>
      <c r="SAK189" s="16"/>
      <c r="SAL189" s="16"/>
      <c r="SAM189" s="16"/>
      <c r="SAN189" s="16"/>
      <c r="SAO189" s="16"/>
      <c r="SAP189" s="16"/>
      <c r="SAQ189" s="16"/>
      <c r="SAR189" s="16"/>
      <c r="SAS189" s="16"/>
      <c r="SAT189" s="16"/>
      <c r="SAU189" s="16"/>
      <c r="SAV189" s="16"/>
      <c r="SAW189" s="16"/>
      <c r="SAX189" s="16"/>
      <c r="SAY189" s="16"/>
      <c r="SAZ189" s="16"/>
      <c r="SBA189" s="16"/>
      <c r="SBB189" s="16"/>
      <c r="SBC189" s="16"/>
      <c r="SBD189" s="16"/>
      <c r="SBE189" s="16"/>
      <c r="SBF189" s="16"/>
      <c r="SBG189" s="16"/>
      <c r="SBH189" s="16"/>
      <c r="SBI189" s="16"/>
      <c r="SBJ189" s="16"/>
      <c r="SBK189" s="16"/>
      <c r="SBL189" s="16"/>
      <c r="SBM189" s="16"/>
      <c r="SBN189" s="16"/>
      <c r="SBO189" s="16"/>
      <c r="SBP189" s="16"/>
      <c r="SBQ189" s="16"/>
      <c r="SBR189" s="16"/>
      <c r="SBS189" s="16"/>
      <c r="SBT189" s="16"/>
      <c r="SBU189" s="16"/>
      <c r="SBV189" s="16"/>
      <c r="SBW189" s="16"/>
      <c r="SBX189" s="16"/>
      <c r="SBY189" s="16"/>
      <c r="SBZ189" s="16"/>
      <c r="SCA189" s="16"/>
      <c r="SCB189" s="16"/>
      <c r="SCC189" s="16"/>
      <c r="SCD189" s="16"/>
      <c r="SCE189" s="16"/>
      <c r="SCF189" s="16"/>
      <c r="SCG189" s="16"/>
      <c r="SCH189" s="16"/>
      <c r="SCI189" s="16"/>
      <c r="SCJ189" s="16"/>
      <c r="SCK189" s="16"/>
      <c r="SCL189" s="16"/>
      <c r="SCM189" s="16"/>
      <c r="SCN189" s="16"/>
      <c r="SCO189" s="16"/>
      <c r="SCP189" s="16"/>
      <c r="SCQ189" s="16"/>
      <c r="SCR189" s="16"/>
      <c r="SCS189" s="16"/>
      <c r="SCT189" s="16"/>
      <c r="SCU189" s="16"/>
      <c r="SCV189" s="16"/>
      <c r="SCW189" s="16"/>
      <c r="SCX189" s="16"/>
      <c r="SCY189" s="16"/>
      <c r="SCZ189" s="16"/>
      <c r="SDA189" s="16"/>
      <c r="SDB189" s="16"/>
      <c r="SDC189" s="16"/>
      <c r="SDD189" s="16"/>
      <c r="SDE189" s="16"/>
      <c r="SDF189" s="16"/>
      <c r="SDG189" s="16"/>
      <c r="SDH189" s="16"/>
      <c r="SDI189" s="16"/>
      <c r="SDJ189" s="16"/>
      <c r="SDK189" s="16"/>
      <c r="SDL189" s="16"/>
      <c r="SDM189" s="16"/>
      <c r="SDN189" s="16"/>
      <c r="SDO189" s="16"/>
      <c r="SDP189" s="16"/>
      <c r="SDQ189" s="16"/>
      <c r="SDR189" s="16"/>
      <c r="SDS189" s="16"/>
      <c r="SDT189" s="16"/>
      <c r="SDU189" s="16"/>
      <c r="SDV189" s="16"/>
      <c r="SDW189" s="16"/>
      <c r="SDX189" s="16"/>
      <c r="SDY189" s="16"/>
      <c r="SDZ189" s="16"/>
      <c r="SEA189" s="16"/>
      <c r="SEB189" s="16"/>
      <c r="SEC189" s="16"/>
      <c r="SED189" s="16"/>
      <c r="SEE189" s="16"/>
      <c r="SEF189" s="16"/>
      <c r="SEG189" s="16"/>
      <c r="SEH189" s="16"/>
      <c r="SEI189" s="16"/>
      <c r="SEJ189" s="16"/>
      <c r="SEK189" s="16"/>
      <c r="SEL189" s="16"/>
      <c r="SEM189" s="16"/>
      <c r="SEN189" s="16"/>
      <c r="SEO189" s="16"/>
      <c r="SEP189" s="16"/>
      <c r="SEQ189" s="16"/>
      <c r="SER189" s="16"/>
      <c r="SES189" s="16"/>
      <c r="SET189" s="16"/>
      <c r="SEU189" s="16"/>
      <c r="SEV189" s="16"/>
      <c r="SEW189" s="16"/>
      <c r="SEX189" s="16"/>
      <c r="SEY189" s="16"/>
      <c r="SEZ189" s="16"/>
      <c r="SFA189" s="16"/>
      <c r="SFB189" s="16"/>
      <c r="SFC189" s="16"/>
      <c r="SFD189" s="16"/>
      <c r="SFE189" s="16"/>
      <c r="SFF189" s="16"/>
      <c r="SFG189" s="16"/>
      <c r="SFH189" s="16"/>
      <c r="SFI189" s="16"/>
      <c r="SFJ189" s="16"/>
      <c r="SFK189" s="16"/>
      <c r="SFL189" s="16"/>
      <c r="SFM189" s="16"/>
      <c r="SFN189" s="16"/>
      <c r="SFO189" s="16"/>
      <c r="SFP189" s="16"/>
      <c r="SFQ189" s="16"/>
      <c r="SFR189" s="16"/>
      <c r="SFS189" s="16"/>
      <c r="SFT189" s="16"/>
      <c r="SFU189" s="16"/>
      <c r="SFV189" s="16"/>
      <c r="SFW189" s="16"/>
      <c r="SFX189" s="16"/>
      <c r="SFY189" s="16"/>
      <c r="SFZ189" s="16"/>
      <c r="SGA189" s="16"/>
      <c r="SGB189" s="16"/>
      <c r="SGC189" s="16"/>
      <c r="SGD189" s="16"/>
      <c r="SGE189" s="16"/>
      <c r="SGF189" s="16"/>
      <c r="SGG189" s="16"/>
      <c r="SGH189" s="16"/>
      <c r="SGI189" s="16"/>
      <c r="SGJ189" s="16"/>
      <c r="SGK189" s="16"/>
      <c r="SGL189" s="16"/>
      <c r="SGM189" s="16"/>
      <c r="SGN189" s="16"/>
      <c r="SGO189" s="16"/>
      <c r="SGP189" s="16"/>
      <c r="SGQ189" s="16"/>
      <c r="SGR189" s="16"/>
      <c r="SGS189" s="16"/>
      <c r="SGT189" s="16"/>
      <c r="SGU189" s="16"/>
      <c r="SGV189" s="16"/>
      <c r="SGW189" s="16"/>
      <c r="SGX189" s="16"/>
      <c r="SGY189" s="16"/>
      <c r="SGZ189" s="16"/>
      <c r="SHA189" s="16"/>
      <c r="SHB189" s="16"/>
      <c r="SHC189" s="16"/>
      <c r="SHD189" s="16"/>
      <c r="SHE189" s="16"/>
      <c r="SHF189" s="16"/>
      <c r="SHG189" s="16"/>
      <c r="SHH189" s="16"/>
      <c r="SHI189" s="16"/>
      <c r="SHJ189" s="16"/>
      <c r="SHK189" s="16"/>
      <c r="SHL189" s="16"/>
      <c r="SHM189" s="16"/>
      <c r="SHN189" s="16"/>
      <c r="SHO189" s="16"/>
      <c r="SHP189" s="16"/>
      <c r="SHQ189" s="16"/>
      <c r="SHR189" s="16"/>
      <c r="SHS189" s="16"/>
      <c r="SHT189" s="16"/>
      <c r="SHU189" s="16"/>
      <c r="SHV189" s="16"/>
      <c r="SHW189" s="16"/>
      <c r="SHX189" s="16"/>
      <c r="SHY189" s="16"/>
      <c r="SHZ189" s="16"/>
      <c r="SIA189" s="16"/>
      <c r="SIB189" s="16"/>
      <c r="SIC189" s="16"/>
      <c r="SID189" s="16"/>
      <c r="SIE189" s="16"/>
      <c r="SIF189" s="16"/>
      <c r="SIG189" s="16"/>
      <c r="SIH189" s="16"/>
      <c r="SII189" s="16"/>
      <c r="SIJ189" s="16"/>
      <c r="SIK189" s="16"/>
      <c r="SIL189" s="16"/>
      <c r="SIM189" s="16"/>
      <c r="SIN189" s="16"/>
      <c r="SIO189" s="16"/>
      <c r="SIP189" s="16"/>
      <c r="SIQ189" s="16"/>
      <c r="SIR189" s="16"/>
      <c r="SIS189" s="16"/>
      <c r="SIT189" s="16"/>
      <c r="SIU189" s="16"/>
      <c r="SIV189" s="16"/>
      <c r="SIW189" s="16"/>
      <c r="SIX189" s="16"/>
      <c r="SIY189" s="16"/>
      <c r="SIZ189" s="16"/>
      <c r="SJA189" s="16"/>
      <c r="SJB189" s="16"/>
      <c r="SJC189" s="16"/>
      <c r="SJD189" s="16"/>
      <c r="SJE189" s="16"/>
      <c r="SJF189" s="16"/>
      <c r="SJG189" s="16"/>
      <c r="SJH189" s="16"/>
      <c r="SJI189" s="16"/>
      <c r="SJJ189" s="16"/>
      <c r="SJK189" s="16"/>
      <c r="SJL189" s="16"/>
      <c r="SJM189" s="16"/>
      <c r="SJN189" s="16"/>
      <c r="SJO189" s="16"/>
      <c r="SJP189" s="16"/>
      <c r="SJQ189" s="16"/>
      <c r="SJR189" s="16"/>
      <c r="SJS189" s="16"/>
      <c r="SJT189" s="16"/>
      <c r="SJU189" s="16"/>
      <c r="SJV189" s="16"/>
      <c r="SJW189" s="16"/>
      <c r="SJX189" s="16"/>
      <c r="SJY189" s="16"/>
      <c r="SJZ189" s="16"/>
      <c r="SKA189" s="16"/>
      <c r="SKB189" s="16"/>
      <c r="SKC189" s="16"/>
      <c r="SKD189" s="16"/>
      <c r="SKE189" s="16"/>
      <c r="SKF189" s="16"/>
      <c r="SKG189" s="16"/>
      <c r="SKH189" s="16"/>
      <c r="SKI189" s="16"/>
      <c r="SKJ189" s="16"/>
      <c r="SKK189" s="16"/>
      <c r="SKL189" s="16"/>
      <c r="SKM189" s="16"/>
      <c r="SKN189" s="16"/>
      <c r="SKO189" s="16"/>
      <c r="SKP189" s="16"/>
      <c r="SKQ189" s="16"/>
      <c r="SKR189" s="16"/>
      <c r="SKS189" s="16"/>
      <c r="SKT189" s="16"/>
      <c r="SKU189" s="16"/>
      <c r="SKV189" s="16"/>
      <c r="SKW189" s="16"/>
      <c r="SKX189" s="16"/>
      <c r="SKY189" s="16"/>
      <c r="SKZ189" s="16"/>
      <c r="SLA189" s="16"/>
      <c r="SLB189" s="16"/>
      <c r="SLC189" s="16"/>
      <c r="SLD189" s="16"/>
      <c r="SLE189" s="16"/>
      <c r="SLF189" s="16"/>
      <c r="SLG189" s="16"/>
      <c r="SLH189" s="16"/>
      <c r="SLI189" s="16"/>
      <c r="SLJ189" s="16"/>
      <c r="SLK189" s="16"/>
      <c r="SLL189" s="16"/>
      <c r="SLM189" s="16"/>
      <c r="SLN189" s="16"/>
      <c r="SLO189" s="16"/>
      <c r="SLP189" s="16"/>
      <c r="SLQ189" s="16"/>
      <c r="SLR189" s="16"/>
      <c r="SLS189" s="16"/>
      <c r="SLT189" s="16"/>
      <c r="SLU189" s="16"/>
      <c r="SLV189" s="16"/>
      <c r="SLW189" s="16"/>
      <c r="SLX189" s="16"/>
      <c r="SLY189" s="16"/>
      <c r="SLZ189" s="16"/>
      <c r="SMA189" s="16"/>
      <c r="SMB189" s="16"/>
      <c r="SMC189" s="16"/>
      <c r="SMD189" s="16"/>
      <c r="SME189" s="16"/>
      <c r="SMF189" s="16"/>
      <c r="SMG189" s="16"/>
      <c r="SMH189" s="16"/>
      <c r="SMI189" s="16"/>
      <c r="SMJ189" s="16"/>
      <c r="SMK189" s="16"/>
      <c r="SML189" s="16"/>
      <c r="SMM189" s="16"/>
      <c r="SMN189" s="16"/>
      <c r="SMO189" s="16"/>
      <c r="SMP189" s="16"/>
      <c r="SMQ189" s="16"/>
      <c r="SMR189" s="16"/>
      <c r="SMS189" s="16"/>
      <c r="SMT189" s="16"/>
      <c r="SMU189" s="16"/>
      <c r="SMV189" s="16"/>
      <c r="SMW189" s="16"/>
      <c r="SMX189" s="16"/>
      <c r="SMY189" s="16"/>
      <c r="SMZ189" s="16"/>
      <c r="SNA189" s="16"/>
      <c r="SNB189" s="16"/>
      <c r="SNC189" s="16"/>
      <c r="SND189" s="16"/>
      <c r="SNE189" s="16"/>
      <c r="SNF189" s="16"/>
      <c r="SNG189" s="16"/>
      <c r="SNH189" s="16"/>
      <c r="SNI189" s="16"/>
      <c r="SNJ189" s="16"/>
      <c r="SNK189" s="16"/>
      <c r="SNL189" s="16"/>
      <c r="SNM189" s="16"/>
      <c r="SNN189" s="16"/>
      <c r="SNO189" s="16"/>
      <c r="SNP189" s="16"/>
      <c r="SNQ189" s="16"/>
      <c r="SNR189" s="16"/>
      <c r="SNS189" s="16"/>
      <c r="SNT189" s="16"/>
      <c r="SNU189" s="16"/>
      <c r="SNV189" s="16"/>
      <c r="SNW189" s="16"/>
      <c r="SNX189" s="16"/>
      <c r="SNY189" s="16"/>
      <c r="SNZ189" s="16"/>
      <c r="SOA189" s="16"/>
      <c r="SOB189" s="16"/>
      <c r="SOC189" s="16"/>
      <c r="SOD189" s="16"/>
      <c r="SOE189" s="16"/>
      <c r="SOF189" s="16"/>
      <c r="SOG189" s="16"/>
      <c r="SOH189" s="16"/>
      <c r="SOI189" s="16"/>
      <c r="SOJ189" s="16"/>
      <c r="SOK189" s="16"/>
      <c r="SOL189" s="16"/>
      <c r="SOM189" s="16"/>
      <c r="SON189" s="16"/>
      <c r="SOO189" s="16"/>
      <c r="SOP189" s="16"/>
      <c r="SOQ189" s="16"/>
      <c r="SOR189" s="16"/>
      <c r="SOS189" s="16"/>
      <c r="SOT189" s="16"/>
      <c r="SOU189" s="16"/>
      <c r="SOV189" s="16"/>
      <c r="SOW189" s="16"/>
      <c r="SOX189" s="16"/>
      <c r="SOY189" s="16"/>
      <c r="SOZ189" s="16"/>
      <c r="SPA189" s="16"/>
      <c r="SPB189" s="16"/>
      <c r="SPC189" s="16"/>
      <c r="SPD189" s="16"/>
      <c r="SPE189" s="16"/>
      <c r="SPF189" s="16"/>
      <c r="SPG189" s="16"/>
      <c r="SPH189" s="16"/>
      <c r="SPI189" s="16"/>
      <c r="SPJ189" s="16"/>
      <c r="SPK189" s="16"/>
      <c r="SPL189" s="16"/>
      <c r="SPM189" s="16"/>
      <c r="SPN189" s="16"/>
      <c r="SPO189" s="16"/>
      <c r="SPP189" s="16"/>
      <c r="SPQ189" s="16"/>
      <c r="SPR189" s="16"/>
      <c r="SPS189" s="16"/>
      <c r="SPT189" s="16"/>
      <c r="SPU189" s="16"/>
      <c r="SPV189" s="16"/>
      <c r="SPW189" s="16"/>
      <c r="SPX189" s="16"/>
      <c r="SPY189" s="16"/>
      <c r="SPZ189" s="16"/>
      <c r="SQA189" s="16"/>
      <c r="SQB189" s="16"/>
      <c r="SQC189" s="16"/>
      <c r="SQD189" s="16"/>
      <c r="SQE189" s="16"/>
      <c r="SQF189" s="16"/>
      <c r="SQG189" s="16"/>
      <c r="SQH189" s="16"/>
      <c r="SQI189" s="16"/>
      <c r="SQJ189" s="16"/>
      <c r="SQK189" s="16"/>
      <c r="SQL189" s="16"/>
      <c r="SQM189" s="16"/>
      <c r="SQN189" s="16"/>
      <c r="SQO189" s="16"/>
      <c r="SQP189" s="16"/>
      <c r="SQQ189" s="16"/>
      <c r="SQR189" s="16"/>
      <c r="SQS189" s="16"/>
      <c r="SQT189" s="16"/>
      <c r="SQU189" s="16"/>
      <c r="SQV189" s="16"/>
      <c r="SQW189" s="16"/>
      <c r="SQX189" s="16"/>
      <c r="SQY189" s="16"/>
      <c r="SQZ189" s="16"/>
      <c r="SRA189" s="16"/>
      <c r="SRB189" s="16"/>
      <c r="SRC189" s="16"/>
      <c r="SRD189" s="16"/>
      <c r="SRE189" s="16"/>
      <c r="SRF189" s="16"/>
      <c r="SRG189" s="16"/>
      <c r="SRH189" s="16"/>
      <c r="SRI189" s="16"/>
      <c r="SRJ189" s="16"/>
      <c r="SRK189" s="16"/>
      <c r="SRL189" s="16"/>
      <c r="SRM189" s="16"/>
      <c r="SRN189" s="16"/>
      <c r="SRO189" s="16"/>
      <c r="SRP189" s="16"/>
      <c r="SRQ189" s="16"/>
      <c r="SRR189" s="16"/>
      <c r="SRS189" s="16"/>
      <c r="SRT189" s="16"/>
      <c r="SRU189" s="16"/>
      <c r="SRV189" s="16"/>
      <c r="SRW189" s="16"/>
      <c r="SRX189" s="16"/>
      <c r="SRY189" s="16"/>
      <c r="SRZ189" s="16"/>
      <c r="SSA189" s="16"/>
      <c r="SSB189" s="16"/>
      <c r="SSC189" s="16"/>
      <c r="SSD189" s="16"/>
      <c r="SSE189" s="16"/>
      <c r="SSF189" s="16"/>
      <c r="SSG189" s="16"/>
      <c r="SSH189" s="16"/>
      <c r="SSI189" s="16"/>
      <c r="SSJ189" s="16"/>
      <c r="SSK189" s="16"/>
      <c r="SSL189" s="16"/>
      <c r="SSM189" s="16"/>
      <c r="SSN189" s="16"/>
      <c r="SSO189" s="16"/>
      <c r="SSP189" s="16"/>
      <c r="SSQ189" s="16"/>
      <c r="SSR189" s="16"/>
      <c r="SSS189" s="16"/>
      <c r="SST189" s="16"/>
      <c r="SSU189" s="16"/>
      <c r="SSV189" s="16"/>
      <c r="SSW189" s="16"/>
      <c r="SSX189" s="16"/>
      <c r="SSY189" s="16"/>
      <c r="SSZ189" s="16"/>
      <c r="STA189" s="16"/>
      <c r="STB189" s="16"/>
      <c r="STC189" s="16"/>
      <c r="STD189" s="16"/>
      <c r="STE189" s="16"/>
      <c r="STF189" s="16"/>
      <c r="STG189" s="16"/>
      <c r="STH189" s="16"/>
      <c r="STI189" s="16"/>
      <c r="STJ189" s="16"/>
      <c r="STK189" s="16"/>
      <c r="STL189" s="16"/>
      <c r="STM189" s="16"/>
      <c r="STN189" s="16"/>
      <c r="STO189" s="16"/>
      <c r="STP189" s="16"/>
      <c r="STQ189" s="16"/>
      <c r="STR189" s="16"/>
      <c r="STS189" s="16"/>
      <c r="STT189" s="16"/>
      <c r="STU189" s="16"/>
      <c r="STV189" s="16"/>
      <c r="STW189" s="16"/>
      <c r="STX189" s="16"/>
      <c r="STY189" s="16"/>
      <c r="STZ189" s="16"/>
      <c r="SUA189" s="16"/>
      <c r="SUB189" s="16"/>
      <c r="SUC189" s="16"/>
      <c r="SUD189" s="16"/>
      <c r="SUE189" s="16"/>
      <c r="SUF189" s="16"/>
      <c r="SUG189" s="16"/>
      <c r="SUH189" s="16"/>
      <c r="SUI189" s="16"/>
      <c r="SUJ189" s="16"/>
      <c r="SUK189" s="16"/>
      <c r="SUL189" s="16"/>
      <c r="SUM189" s="16"/>
      <c r="SUN189" s="16"/>
      <c r="SUO189" s="16"/>
      <c r="SUP189" s="16"/>
      <c r="SUQ189" s="16"/>
      <c r="SUR189" s="16"/>
      <c r="SUS189" s="16"/>
      <c r="SUT189" s="16"/>
      <c r="SUU189" s="16"/>
      <c r="SUV189" s="16"/>
      <c r="SUW189" s="16"/>
      <c r="SUX189" s="16"/>
      <c r="SUY189" s="16"/>
      <c r="SUZ189" s="16"/>
      <c r="SVA189" s="16"/>
      <c r="SVB189" s="16"/>
      <c r="SVC189" s="16"/>
      <c r="SVD189" s="16"/>
      <c r="SVE189" s="16"/>
      <c r="SVF189" s="16"/>
      <c r="SVG189" s="16"/>
      <c r="SVH189" s="16"/>
      <c r="SVI189" s="16"/>
      <c r="SVJ189" s="16"/>
      <c r="SVK189" s="16"/>
      <c r="SVL189" s="16"/>
      <c r="SVM189" s="16"/>
      <c r="SVN189" s="16"/>
      <c r="SVO189" s="16"/>
      <c r="SVP189" s="16"/>
      <c r="SVQ189" s="16"/>
      <c r="SVR189" s="16"/>
      <c r="SVS189" s="16"/>
      <c r="SVT189" s="16"/>
      <c r="SVU189" s="16"/>
      <c r="SVV189" s="16"/>
      <c r="SVW189" s="16"/>
      <c r="SVX189" s="16"/>
      <c r="SVY189" s="16"/>
      <c r="SVZ189" s="16"/>
      <c r="SWA189" s="16"/>
      <c r="SWB189" s="16"/>
      <c r="SWC189" s="16"/>
      <c r="SWD189" s="16"/>
      <c r="SWE189" s="16"/>
      <c r="SWF189" s="16"/>
      <c r="SWG189" s="16"/>
      <c r="SWH189" s="16"/>
      <c r="SWI189" s="16"/>
      <c r="SWJ189" s="16"/>
      <c r="SWK189" s="16"/>
      <c r="SWL189" s="16"/>
      <c r="SWM189" s="16"/>
      <c r="SWN189" s="16"/>
      <c r="SWO189" s="16"/>
      <c r="SWP189" s="16"/>
      <c r="SWQ189" s="16"/>
      <c r="SWR189" s="16"/>
      <c r="SWS189" s="16"/>
      <c r="SWT189" s="16"/>
      <c r="SWU189" s="16"/>
      <c r="SWV189" s="16"/>
      <c r="SWW189" s="16"/>
      <c r="SWX189" s="16"/>
      <c r="SWY189" s="16"/>
      <c r="SWZ189" s="16"/>
      <c r="SXA189" s="16"/>
      <c r="SXB189" s="16"/>
      <c r="SXC189" s="16"/>
      <c r="SXD189" s="16"/>
      <c r="SXE189" s="16"/>
      <c r="SXF189" s="16"/>
      <c r="SXG189" s="16"/>
      <c r="SXH189" s="16"/>
      <c r="SXI189" s="16"/>
      <c r="SXJ189" s="16"/>
      <c r="SXK189" s="16"/>
      <c r="SXL189" s="16"/>
      <c r="SXM189" s="16"/>
      <c r="SXN189" s="16"/>
      <c r="SXO189" s="16"/>
      <c r="SXP189" s="16"/>
      <c r="SXQ189" s="16"/>
      <c r="SXR189" s="16"/>
      <c r="SXS189" s="16"/>
      <c r="SXT189" s="16"/>
      <c r="SXU189" s="16"/>
      <c r="SXV189" s="16"/>
      <c r="SXW189" s="16"/>
      <c r="SXX189" s="16"/>
      <c r="SXY189" s="16"/>
      <c r="SXZ189" s="16"/>
      <c r="SYA189" s="16"/>
      <c r="SYB189" s="16"/>
      <c r="SYC189" s="16"/>
      <c r="SYD189" s="16"/>
      <c r="SYE189" s="16"/>
      <c r="SYF189" s="16"/>
      <c r="SYG189" s="16"/>
      <c r="SYH189" s="16"/>
      <c r="SYI189" s="16"/>
      <c r="SYJ189" s="16"/>
      <c r="SYK189" s="16"/>
      <c r="SYL189" s="16"/>
      <c r="SYM189" s="16"/>
      <c r="SYN189" s="16"/>
      <c r="SYO189" s="16"/>
      <c r="SYP189" s="16"/>
      <c r="SYQ189" s="16"/>
      <c r="SYR189" s="16"/>
      <c r="SYS189" s="16"/>
      <c r="SYT189" s="16"/>
      <c r="SYU189" s="16"/>
      <c r="SYV189" s="16"/>
      <c r="SYW189" s="16"/>
      <c r="SYX189" s="16"/>
      <c r="SYY189" s="16"/>
      <c r="SYZ189" s="16"/>
      <c r="SZA189" s="16"/>
      <c r="SZB189" s="16"/>
      <c r="SZC189" s="16"/>
      <c r="SZD189" s="16"/>
      <c r="SZE189" s="16"/>
      <c r="SZF189" s="16"/>
      <c r="SZG189" s="16"/>
      <c r="SZH189" s="16"/>
      <c r="SZI189" s="16"/>
      <c r="SZJ189" s="16"/>
      <c r="SZK189" s="16"/>
      <c r="SZL189" s="16"/>
      <c r="SZM189" s="16"/>
      <c r="SZN189" s="16"/>
      <c r="SZO189" s="16"/>
      <c r="SZP189" s="16"/>
      <c r="SZQ189" s="16"/>
      <c r="SZR189" s="16"/>
      <c r="SZS189" s="16"/>
      <c r="SZT189" s="16"/>
      <c r="SZU189" s="16"/>
      <c r="SZV189" s="16"/>
      <c r="SZW189" s="16"/>
      <c r="SZX189" s="16"/>
      <c r="SZY189" s="16"/>
      <c r="SZZ189" s="16"/>
      <c r="TAA189" s="16"/>
      <c r="TAB189" s="16"/>
      <c r="TAC189" s="16"/>
      <c r="TAD189" s="16"/>
      <c r="TAE189" s="16"/>
      <c r="TAF189" s="16"/>
      <c r="TAG189" s="16"/>
      <c r="TAH189" s="16"/>
      <c r="TAI189" s="16"/>
      <c r="TAJ189" s="16"/>
      <c r="TAK189" s="16"/>
      <c r="TAL189" s="16"/>
      <c r="TAM189" s="16"/>
      <c r="TAN189" s="16"/>
      <c r="TAO189" s="16"/>
      <c r="TAP189" s="16"/>
      <c r="TAQ189" s="16"/>
      <c r="TAR189" s="16"/>
      <c r="TAS189" s="16"/>
      <c r="TAT189" s="16"/>
      <c r="TAU189" s="16"/>
      <c r="TAV189" s="16"/>
      <c r="TAW189" s="16"/>
      <c r="TAX189" s="16"/>
      <c r="TAY189" s="16"/>
      <c r="TAZ189" s="16"/>
      <c r="TBA189" s="16"/>
      <c r="TBB189" s="16"/>
      <c r="TBC189" s="16"/>
      <c r="TBD189" s="16"/>
      <c r="TBE189" s="16"/>
      <c r="TBF189" s="16"/>
      <c r="TBG189" s="16"/>
      <c r="TBH189" s="16"/>
      <c r="TBI189" s="16"/>
      <c r="TBJ189" s="16"/>
      <c r="TBK189" s="16"/>
      <c r="TBL189" s="16"/>
      <c r="TBM189" s="16"/>
      <c r="TBN189" s="16"/>
      <c r="TBO189" s="16"/>
      <c r="TBP189" s="16"/>
      <c r="TBQ189" s="16"/>
      <c r="TBR189" s="16"/>
      <c r="TBS189" s="16"/>
      <c r="TBT189" s="16"/>
      <c r="TBU189" s="16"/>
      <c r="TBV189" s="16"/>
      <c r="TBW189" s="16"/>
      <c r="TBX189" s="16"/>
      <c r="TBY189" s="16"/>
      <c r="TBZ189" s="16"/>
      <c r="TCA189" s="16"/>
      <c r="TCB189" s="16"/>
      <c r="TCC189" s="16"/>
      <c r="TCD189" s="16"/>
      <c r="TCE189" s="16"/>
      <c r="TCF189" s="16"/>
      <c r="TCG189" s="16"/>
      <c r="TCH189" s="16"/>
      <c r="TCI189" s="16"/>
      <c r="TCJ189" s="16"/>
      <c r="TCK189" s="16"/>
      <c r="TCL189" s="16"/>
      <c r="TCM189" s="16"/>
      <c r="TCN189" s="16"/>
      <c r="TCO189" s="16"/>
      <c r="TCP189" s="16"/>
      <c r="TCQ189" s="16"/>
      <c r="TCR189" s="16"/>
      <c r="TCS189" s="16"/>
      <c r="TCT189" s="16"/>
      <c r="TCU189" s="16"/>
      <c r="TCV189" s="16"/>
      <c r="TCW189" s="16"/>
      <c r="TCX189" s="16"/>
      <c r="TCY189" s="16"/>
      <c r="TCZ189" s="16"/>
      <c r="TDA189" s="16"/>
      <c r="TDB189" s="16"/>
      <c r="TDC189" s="16"/>
      <c r="TDD189" s="16"/>
      <c r="TDE189" s="16"/>
      <c r="TDF189" s="16"/>
      <c r="TDG189" s="16"/>
      <c r="TDH189" s="16"/>
      <c r="TDI189" s="16"/>
      <c r="TDJ189" s="16"/>
      <c r="TDK189" s="16"/>
      <c r="TDL189" s="16"/>
      <c r="TDM189" s="16"/>
      <c r="TDN189" s="16"/>
      <c r="TDO189" s="16"/>
      <c r="TDP189" s="16"/>
      <c r="TDQ189" s="16"/>
      <c r="TDR189" s="16"/>
      <c r="TDS189" s="16"/>
      <c r="TDT189" s="16"/>
      <c r="TDU189" s="16"/>
      <c r="TDV189" s="16"/>
      <c r="TDW189" s="16"/>
      <c r="TDX189" s="16"/>
      <c r="TDY189" s="16"/>
      <c r="TDZ189" s="16"/>
      <c r="TEA189" s="16"/>
      <c r="TEB189" s="16"/>
      <c r="TEC189" s="16"/>
      <c r="TED189" s="16"/>
      <c r="TEE189" s="16"/>
      <c r="TEF189" s="16"/>
      <c r="TEG189" s="16"/>
      <c r="TEH189" s="16"/>
      <c r="TEI189" s="16"/>
      <c r="TEJ189" s="16"/>
      <c r="TEK189" s="16"/>
      <c r="TEL189" s="16"/>
      <c r="TEM189" s="16"/>
      <c r="TEN189" s="16"/>
      <c r="TEO189" s="16"/>
      <c r="TEP189" s="16"/>
      <c r="TEQ189" s="16"/>
      <c r="TER189" s="16"/>
      <c r="TES189" s="16"/>
      <c r="TET189" s="16"/>
      <c r="TEU189" s="16"/>
      <c r="TEV189" s="16"/>
      <c r="TEW189" s="16"/>
      <c r="TEX189" s="16"/>
      <c r="TEY189" s="16"/>
      <c r="TEZ189" s="16"/>
      <c r="TFA189" s="16"/>
      <c r="TFB189" s="16"/>
      <c r="TFC189" s="16"/>
      <c r="TFD189" s="16"/>
      <c r="TFE189" s="16"/>
      <c r="TFF189" s="16"/>
      <c r="TFG189" s="16"/>
      <c r="TFH189" s="16"/>
      <c r="TFI189" s="16"/>
      <c r="TFJ189" s="16"/>
      <c r="TFK189" s="16"/>
      <c r="TFL189" s="16"/>
      <c r="TFM189" s="16"/>
      <c r="TFN189" s="16"/>
      <c r="TFO189" s="16"/>
      <c r="TFP189" s="16"/>
      <c r="TFQ189" s="16"/>
      <c r="TFR189" s="16"/>
      <c r="TFS189" s="16"/>
      <c r="TFT189" s="16"/>
      <c r="TFU189" s="16"/>
      <c r="TFV189" s="16"/>
      <c r="TFW189" s="16"/>
      <c r="TFX189" s="16"/>
      <c r="TFY189" s="16"/>
      <c r="TFZ189" s="16"/>
      <c r="TGA189" s="16"/>
      <c r="TGB189" s="16"/>
      <c r="TGC189" s="16"/>
      <c r="TGD189" s="16"/>
      <c r="TGE189" s="16"/>
      <c r="TGF189" s="16"/>
      <c r="TGG189" s="16"/>
      <c r="TGH189" s="16"/>
      <c r="TGI189" s="16"/>
      <c r="TGJ189" s="16"/>
      <c r="TGK189" s="16"/>
      <c r="TGL189" s="16"/>
      <c r="TGM189" s="16"/>
      <c r="TGN189" s="16"/>
      <c r="TGO189" s="16"/>
      <c r="TGP189" s="16"/>
      <c r="TGQ189" s="16"/>
      <c r="TGR189" s="16"/>
      <c r="TGS189" s="16"/>
      <c r="TGT189" s="16"/>
      <c r="TGU189" s="16"/>
      <c r="TGV189" s="16"/>
      <c r="TGW189" s="16"/>
      <c r="TGX189" s="16"/>
      <c r="TGY189" s="16"/>
      <c r="TGZ189" s="16"/>
      <c r="THA189" s="16"/>
      <c r="THB189" s="16"/>
      <c r="THC189" s="16"/>
      <c r="THD189" s="16"/>
      <c r="THE189" s="16"/>
      <c r="THF189" s="16"/>
      <c r="THG189" s="16"/>
      <c r="THH189" s="16"/>
      <c r="THI189" s="16"/>
      <c r="THJ189" s="16"/>
      <c r="THK189" s="16"/>
      <c r="THL189" s="16"/>
      <c r="THM189" s="16"/>
      <c r="THN189" s="16"/>
      <c r="THO189" s="16"/>
      <c r="THP189" s="16"/>
      <c r="THQ189" s="16"/>
      <c r="THR189" s="16"/>
      <c r="THS189" s="16"/>
      <c r="THT189" s="16"/>
      <c r="THU189" s="16"/>
      <c r="THV189" s="16"/>
      <c r="THW189" s="16"/>
      <c r="THX189" s="16"/>
      <c r="THY189" s="16"/>
      <c r="THZ189" s="16"/>
      <c r="TIA189" s="16"/>
      <c r="TIB189" s="16"/>
      <c r="TIC189" s="16"/>
      <c r="TID189" s="16"/>
      <c r="TIE189" s="16"/>
      <c r="TIF189" s="16"/>
      <c r="TIG189" s="16"/>
      <c r="TIH189" s="16"/>
      <c r="TII189" s="16"/>
      <c r="TIJ189" s="16"/>
      <c r="TIK189" s="16"/>
      <c r="TIL189" s="16"/>
      <c r="TIM189" s="16"/>
      <c r="TIN189" s="16"/>
      <c r="TIO189" s="16"/>
      <c r="TIP189" s="16"/>
      <c r="TIQ189" s="16"/>
      <c r="TIR189" s="16"/>
      <c r="TIS189" s="16"/>
      <c r="TIT189" s="16"/>
      <c r="TIU189" s="16"/>
      <c r="TIV189" s="16"/>
      <c r="TIW189" s="16"/>
      <c r="TIX189" s="16"/>
      <c r="TIY189" s="16"/>
      <c r="TIZ189" s="16"/>
      <c r="TJA189" s="16"/>
      <c r="TJB189" s="16"/>
      <c r="TJC189" s="16"/>
      <c r="TJD189" s="16"/>
      <c r="TJE189" s="16"/>
      <c r="TJF189" s="16"/>
      <c r="TJG189" s="16"/>
      <c r="TJH189" s="16"/>
      <c r="TJI189" s="16"/>
      <c r="TJJ189" s="16"/>
      <c r="TJK189" s="16"/>
      <c r="TJL189" s="16"/>
      <c r="TJM189" s="16"/>
      <c r="TJN189" s="16"/>
      <c r="TJO189" s="16"/>
      <c r="TJP189" s="16"/>
      <c r="TJQ189" s="16"/>
      <c r="TJR189" s="16"/>
      <c r="TJS189" s="16"/>
      <c r="TJT189" s="16"/>
      <c r="TJU189" s="16"/>
      <c r="TJV189" s="16"/>
      <c r="TJW189" s="16"/>
      <c r="TJX189" s="16"/>
      <c r="TJY189" s="16"/>
      <c r="TJZ189" s="16"/>
      <c r="TKA189" s="16"/>
      <c r="TKB189" s="16"/>
      <c r="TKC189" s="16"/>
      <c r="TKD189" s="16"/>
      <c r="TKE189" s="16"/>
      <c r="TKF189" s="16"/>
      <c r="TKG189" s="16"/>
      <c r="TKH189" s="16"/>
      <c r="TKI189" s="16"/>
      <c r="TKJ189" s="16"/>
      <c r="TKK189" s="16"/>
      <c r="TKL189" s="16"/>
      <c r="TKM189" s="16"/>
      <c r="TKN189" s="16"/>
      <c r="TKO189" s="16"/>
      <c r="TKP189" s="16"/>
      <c r="TKQ189" s="16"/>
      <c r="TKR189" s="16"/>
      <c r="TKS189" s="16"/>
      <c r="TKT189" s="16"/>
      <c r="TKU189" s="16"/>
      <c r="TKV189" s="16"/>
      <c r="TKW189" s="16"/>
      <c r="TKX189" s="16"/>
      <c r="TKY189" s="16"/>
      <c r="TKZ189" s="16"/>
      <c r="TLA189" s="16"/>
      <c r="TLB189" s="16"/>
      <c r="TLC189" s="16"/>
      <c r="TLD189" s="16"/>
      <c r="TLE189" s="16"/>
      <c r="TLF189" s="16"/>
      <c r="TLG189" s="16"/>
      <c r="TLH189" s="16"/>
      <c r="TLI189" s="16"/>
      <c r="TLJ189" s="16"/>
      <c r="TLK189" s="16"/>
      <c r="TLL189" s="16"/>
      <c r="TLM189" s="16"/>
      <c r="TLN189" s="16"/>
      <c r="TLO189" s="16"/>
      <c r="TLP189" s="16"/>
      <c r="TLQ189" s="16"/>
      <c r="TLR189" s="16"/>
      <c r="TLS189" s="16"/>
      <c r="TLT189" s="16"/>
      <c r="TLU189" s="16"/>
      <c r="TLV189" s="16"/>
      <c r="TLW189" s="16"/>
      <c r="TLX189" s="16"/>
      <c r="TLY189" s="16"/>
      <c r="TLZ189" s="16"/>
      <c r="TMA189" s="16"/>
      <c r="TMB189" s="16"/>
      <c r="TMC189" s="16"/>
      <c r="TMD189" s="16"/>
      <c r="TME189" s="16"/>
      <c r="TMF189" s="16"/>
      <c r="TMG189" s="16"/>
      <c r="TMH189" s="16"/>
      <c r="TMI189" s="16"/>
      <c r="TMJ189" s="16"/>
      <c r="TMK189" s="16"/>
      <c r="TML189" s="16"/>
      <c r="TMM189" s="16"/>
      <c r="TMN189" s="16"/>
      <c r="TMO189" s="16"/>
      <c r="TMP189" s="16"/>
      <c r="TMQ189" s="16"/>
      <c r="TMR189" s="16"/>
      <c r="TMS189" s="16"/>
      <c r="TMT189" s="16"/>
      <c r="TMU189" s="16"/>
      <c r="TMV189" s="16"/>
      <c r="TMW189" s="16"/>
      <c r="TMX189" s="16"/>
      <c r="TMY189" s="16"/>
      <c r="TMZ189" s="16"/>
      <c r="TNA189" s="16"/>
      <c r="TNB189" s="16"/>
      <c r="TNC189" s="16"/>
      <c r="TND189" s="16"/>
      <c r="TNE189" s="16"/>
      <c r="TNF189" s="16"/>
      <c r="TNG189" s="16"/>
      <c r="TNH189" s="16"/>
      <c r="TNI189" s="16"/>
      <c r="TNJ189" s="16"/>
      <c r="TNK189" s="16"/>
      <c r="TNL189" s="16"/>
      <c r="TNM189" s="16"/>
      <c r="TNN189" s="16"/>
      <c r="TNO189" s="16"/>
      <c r="TNP189" s="16"/>
      <c r="TNQ189" s="16"/>
      <c r="TNR189" s="16"/>
      <c r="TNS189" s="16"/>
      <c r="TNT189" s="16"/>
      <c r="TNU189" s="16"/>
      <c r="TNV189" s="16"/>
      <c r="TNW189" s="16"/>
      <c r="TNX189" s="16"/>
      <c r="TNY189" s="16"/>
      <c r="TNZ189" s="16"/>
      <c r="TOA189" s="16"/>
      <c r="TOB189" s="16"/>
      <c r="TOC189" s="16"/>
      <c r="TOD189" s="16"/>
      <c r="TOE189" s="16"/>
      <c r="TOF189" s="16"/>
      <c r="TOG189" s="16"/>
      <c r="TOH189" s="16"/>
      <c r="TOI189" s="16"/>
      <c r="TOJ189" s="16"/>
      <c r="TOK189" s="16"/>
      <c r="TOL189" s="16"/>
      <c r="TOM189" s="16"/>
      <c r="TON189" s="16"/>
      <c r="TOO189" s="16"/>
      <c r="TOP189" s="16"/>
      <c r="TOQ189" s="16"/>
      <c r="TOR189" s="16"/>
      <c r="TOS189" s="16"/>
      <c r="TOT189" s="16"/>
      <c r="TOU189" s="16"/>
      <c r="TOV189" s="16"/>
      <c r="TOW189" s="16"/>
      <c r="TOX189" s="16"/>
      <c r="TOY189" s="16"/>
      <c r="TOZ189" s="16"/>
      <c r="TPA189" s="16"/>
      <c r="TPB189" s="16"/>
      <c r="TPC189" s="16"/>
      <c r="TPD189" s="16"/>
      <c r="TPE189" s="16"/>
      <c r="TPF189" s="16"/>
      <c r="TPG189" s="16"/>
      <c r="TPH189" s="16"/>
      <c r="TPI189" s="16"/>
      <c r="TPJ189" s="16"/>
      <c r="TPK189" s="16"/>
      <c r="TPL189" s="16"/>
      <c r="TPM189" s="16"/>
      <c r="TPN189" s="16"/>
      <c r="TPO189" s="16"/>
      <c r="TPP189" s="16"/>
      <c r="TPQ189" s="16"/>
      <c r="TPR189" s="16"/>
      <c r="TPS189" s="16"/>
      <c r="TPT189" s="16"/>
      <c r="TPU189" s="16"/>
      <c r="TPV189" s="16"/>
      <c r="TPW189" s="16"/>
      <c r="TPX189" s="16"/>
      <c r="TPY189" s="16"/>
      <c r="TPZ189" s="16"/>
      <c r="TQA189" s="16"/>
      <c r="TQB189" s="16"/>
      <c r="TQC189" s="16"/>
      <c r="TQD189" s="16"/>
      <c r="TQE189" s="16"/>
      <c r="TQF189" s="16"/>
      <c r="TQG189" s="16"/>
      <c r="TQH189" s="16"/>
      <c r="TQI189" s="16"/>
      <c r="TQJ189" s="16"/>
      <c r="TQK189" s="16"/>
      <c r="TQL189" s="16"/>
      <c r="TQM189" s="16"/>
      <c r="TQN189" s="16"/>
      <c r="TQO189" s="16"/>
      <c r="TQP189" s="16"/>
      <c r="TQQ189" s="16"/>
      <c r="TQR189" s="16"/>
      <c r="TQS189" s="16"/>
      <c r="TQT189" s="16"/>
      <c r="TQU189" s="16"/>
      <c r="TQV189" s="16"/>
      <c r="TQW189" s="16"/>
      <c r="TQX189" s="16"/>
      <c r="TQY189" s="16"/>
      <c r="TQZ189" s="16"/>
      <c r="TRA189" s="16"/>
      <c r="TRB189" s="16"/>
      <c r="TRC189" s="16"/>
      <c r="TRD189" s="16"/>
      <c r="TRE189" s="16"/>
      <c r="TRF189" s="16"/>
      <c r="TRG189" s="16"/>
      <c r="TRH189" s="16"/>
      <c r="TRI189" s="16"/>
      <c r="TRJ189" s="16"/>
      <c r="TRK189" s="16"/>
      <c r="TRL189" s="16"/>
      <c r="TRM189" s="16"/>
      <c r="TRN189" s="16"/>
      <c r="TRO189" s="16"/>
      <c r="TRP189" s="16"/>
      <c r="TRQ189" s="16"/>
      <c r="TRR189" s="16"/>
      <c r="TRS189" s="16"/>
      <c r="TRT189" s="16"/>
      <c r="TRU189" s="16"/>
      <c r="TRV189" s="16"/>
      <c r="TRW189" s="16"/>
      <c r="TRX189" s="16"/>
      <c r="TRY189" s="16"/>
      <c r="TRZ189" s="16"/>
      <c r="TSA189" s="16"/>
      <c r="TSB189" s="16"/>
      <c r="TSC189" s="16"/>
      <c r="TSD189" s="16"/>
      <c r="TSE189" s="16"/>
      <c r="TSF189" s="16"/>
      <c r="TSG189" s="16"/>
      <c r="TSH189" s="16"/>
      <c r="TSI189" s="16"/>
      <c r="TSJ189" s="16"/>
      <c r="TSK189" s="16"/>
      <c r="TSL189" s="16"/>
      <c r="TSM189" s="16"/>
      <c r="TSN189" s="16"/>
      <c r="TSO189" s="16"/>
      <c r="TSP189" s="16"/>
      <c r="TSQ189" s="16"/>
      <c r="TSR189" s="16"/>
      <c r="TSS189" s="16"/>
      <c r="TST189" s="16"/>
      <c r="TSU189" s="16"/>
      <c r="TSV189" s="16"/>
      <c r="TSW189" s="16"/>
      <c r="TSX189" s="16"/>
      <c r="TSY189" s="16"/>
      <c r="TSZ189" s="16"/>
      <c r="TTA189" s="16"/>
      <c r="TTB189" s="16"/>
      <c r="TTC189" s="16"/>
      <c r="TTD189" s="16"/>
      <c r="TTE189" s="16"/>
      <c r="TTF189" s="16"/>
      <c r="TTG189" s="16"/>
      <c r="TTH189" s="16"/>
      <c r="TTI189" s="16"/>
      <c r="TTJ189" s="16"/>
      <c r="TTK189" s="16"/>
      <c r="TTL189" s="16"/>
      <c r="TTM189" s="16"/>
      <c r="TTN189" s="16"/>
      <c r="TTO189" s="16"/>
      <c r="TTP189" s="16"/>
      <c r="TTQ189" s="16"/>
      <c r="TTR189" s="16"/>
      <c r="TTS189" s="16"/>
      <c r="TTT189" s="16"/>
      <c r="TTU189" s="16"/>
      <c r="TTV189" s="16"/>
      <c r="TTW189" s="16"/>
      <c r="TTX189" s="16"/>
      <c r="TTY189" s="16"/>
      <c r="TTZ189" s="16"/>
      <c r="TUA189" s="16"/>
      <c r="TUB189" s="16"/>
      <c r="TUC189" s="16"/>
      <c r="TUD189" s="16"/>
      <c r="TUE189" s="16"/>
      <c r="TUF189" s="16"/>
      <c r="TUG189" s="16"/>
      <c r="TUH189" s="16"/>
      <c r="TUI189" s="16"/>
      <c r="TUJ189" s="16"/>
      <c r="TUK189" s="16"/>
      <c r="TUL189" s="16"/>
      <c r="TUM189" s="16"/>
      <c r="TUN189" s="16"/>
      <c r="TUO189" s="16"/>
      <c r="TUP189" s="16"/>
      <c r="TUQ189" s="16"/>
      <c r="TUR189" s="16"/>
      <c r="TUS189" s="16"/>
      <c r="TUT189" s="16"/>
      <c r="TUU189" s="16"/>
      <c r="TUV189" s="16"/>
      <c r="TUW189" s="16"/>
      <c r="TUX189" s="16"/>
      <c r="TUY189" s="16"/>
      <c r="TUZ189" s="16"/>
      <c r="TVA189" s="16"/>
      <c r="TVB189" s="16"/>
      <c r="TVC189" s="16"/>
      <c r="TVD189" s="16"/>
      <c r="TVE189" s="16"/>
      <c r="TVF189" s="16"/>
      <c r="TVG189" s="16"/>
      <c r="TVH189" s="16"/>
      <c r="TVI189" s="16"/>
      <c r="TVJ189" s="16"/>
      <c r="TVK189" s="16"/>
      <c r="TVL189" s="16"/>
      <c r="TVM189" s="16"/>
      <c r="TVN189" s="16"/>
      <c r="TVO189" s="16"/>
      <c r="TVP189" s="16"/>
      <c r="TVQ189" s="16"/>
      <c r="TVR189" s="16"/>
      <c r="TVS189" s="16"/>
      <c r="TVT189" s="16"/>
      <c r="TVU189" s="16"/>
      <c r="TVV189" s="16"/>
      <c r="TVW189" s="16"/>
      <c r="TVX189" s="16"/>
      <c r="TVY189" s="16"/>
      <c r="TVZ189" s="16"/>
      <c r="TWA189" s="16"/>
      <c r="TWB189" s="16"/>
      <c r="TWC189" s="16"/>
      <c r="TWD189" s="16"/>
      <c r="TWE189" s="16"/>
      <c r="TWF189" s="16"/>
      <c r="TWG189" s="16"/>
      <c r="TWH189" s="16"/>
      <c r="TWI189" s="16"/>
      <c r="TWJ189" s="16"/>
      <c r="TWK189" s="16"/>
      <c r="TWL189" s="16"/>
      <c r="TWM189" s="16"/>
      <c r="TWN189" s="16"/>
      <c r="TWO189" s="16"/>
      <c r="TWP189" s="16"/>
      <c r="TWQ189" s="16"/>
      <c r="TWR189" s="16"/>
      <c r="TWS189" s="16"/>
      <c r="TWT189" s="16"/>
      <c r="TWU189" s="16"/>
      <c r="TWV189" s="16"/>
      <c r="TWW189" s="16"/>
      <c r="TWX189" s="16"/>
      <c r="TWY189" s="16"/>
      <c r="TWZ189" s="16"/>
      <c r="TXA189" s="16"/>
      <c r="TXB189" s="16"/>
      <c r="TXC189" s="16"/>
      <c r="TXD189" s="16"/>
      <c r="TXE189" s="16"/>
      <c r="TXF189" s="16"/>
      <c r="TXG189" s="16"/>
      <c r="TXH189" s="16"/>
      <c r="TXI189" s="16"/>
      <c r="TXJ189" s="16"/>
      <c r="TXK189" s="16"/>
      <c r="TXL189" s="16"/>
      <c r="TXM189" s="16"/>
      <c r="TXN189" s="16"/>
      <c r="TXO189" s="16"/>
      <c r="TXP189" s="16"/>
      <c r="TXQ189" s="16"/>
      <c r="TXR189" s="16"/>
      <c r="TXS189" s="16"/>
      <c r="TXT189" s="16"/>
      <c r="TXU189" s="16"/>
      <c r="TXV189" s="16"/>
      <c r="TXW189" s="16"/>
      <c r="TXX189" s="16"/>
      <c r="TXY189" s="16"/>
      <c r="TXZ189" s="16"/>
      <c r="TYA189" s="16"/>
      <c r="TYB189" s="16"/>
      <c r="TYC189" s="16"/>
      <c r="TYD189" s="16"/>
      <c r="TYE189" s="16"/>
      <c r="TYF189" s="16"/>
      <c r="TYG189" s="16"/>
      <c r="TYH189" s="16"/>
      <c r="TYI189" s="16"/>
      <c r="TYJ189" s="16"/>
      <c r="TYK189" s="16"/>
      <c r="TYL189" s="16"/>
      <c r="TYM189" s="16"/>
      <c r="TYN189" s="16"/>
      <c r="TYO189" s="16"/>
      <c r="TYP189" s="16"/>
      <c r="TYQ189" s="16"/>
      <c r="TYR189" s="16"/>
      <c r="TYS189" s="16"/>
      <c r="TYT189" s="16"/>
      <c r="TYU189" s="16"/>
      <c r="TYV189" s="16"/>
      <c r="TYW189" s="16"/>
      <c r="TYX189" s="16"/>
      <c r="TYY189" s="16"/>
      <c r="TYZ189" s="16"/>
      <c r="TZA189" s="16"/>
      <c r="TZB189" s="16"/>
      <c r="TZC189" s="16"/>
      <c r="TZD189" s="16"/>
      <c r="TZE189" s="16"/>
      <c r="TZF189" s="16"/>
      <c r="TZG189" s="16"/>
      <c r="TZH189" s="16"/>
      <c r="TZI189" s="16"/>
      <c r="TZJ189" s="16"/>
      <c r="TZK189" s="16"/>
      <c r="TZL189" s="16"/>
      <c r="TZM189" s="16"/>
      <c r="TZN189" s="16"/>
      <c r="TZO189" s="16"/>
      <c r="TZP189" s="16"/>
      <c r="TZQ189" s="16"/>
      <c r="TZR189" s="16"/>
      <c r="TZS189" s="16"/>
      <c r="TZT189" s="16"/>
      <c r="TZU189" s="16"/>
      <c r="TZV189" s="16"/>
      <c r="TZW189" s="16"/>
      <c r="TZX189" s="16"/>
      <c r="TZY189" s="16"/>
      <c r="TZZ189" s="16"/>
      <c r="UAA189" s="16"/>
      <c r="UAB189" s="16"/>
      <c r="UAC189" s="16"/>
      <c r="UAD189" s="16"/>
      <c r="UAE189" s="16"/>
      <c r="UAF189" s="16"/>
      <c r="UAG189" s="16"/>
      <c r="UAH189" s="16"/>
      <c r="UAI189" s="16"/>
      <c r="UAJ189" s="16"/>
      <c r="UAK189" s="16"/>
      <c r="UAL189" s="16"/>
      <c r="UAM189" s="16"/>
      <c r="UAN189" s="16"/>
      <c r="UAO189" s="16"/>
      <c r="UAP189" s="16"/>
      <c r="UAQ189" s="16"/>
      <c r="UAR189" s="16"/>
      <c r="UAS189" s="16"/>
      <c r="UAT189" s="16"/>
      <c r="UAU189" s="16"/>
      <c r="UAV189" s="16"/>
      <c r="UAW189" s="16"/>
      <c r="UAX189" s="16"/>
      <c r="UAY189" s="16"/>
      <c r="UAZ189" s="16"/>
      <c r="UBA189" s="16"/>
      <c r="UBB189" s="16"/>
      <c r="UBC189" s="16"/>
      <c r="UBD189" s="16"/>
      <c r="UBE189" s="16"/>
      <c r="UBF189" s="16"/>
      <c r="UBG189" s="16"/>
      <c r="UBH189" s="16"/>
      <c r="UBI189" s="16"/>
      <c r="UBJ189" s="16"/>
      <c r="UBK189" s="16"/>
      <c r="UBL189" s="16"/>
      <c r="UBM189" s="16"/>
      <c r="UBN189" s="16"/>
      <c r="UBO189" s="16"/>
      <c r="UBP189" s="16"/>
      <c r="UBQ189" s="16"/>
      <c r="UBR189" s="16"/>
      <c r="UBS189" s="16"/>
      <c r="UBT189" s="16"/>
      <c r="UBU189" s="16"/>
      <c r="UBV189" s="16"/>
      <c r="UBW189" s="16"/>
      <c r="UBX189" s="16"/>
      <c r="UBY189" s="16"/>
      <c r="UBZ189" s="16"/>
      <c r="UCA189" s="16"/>
      <c r="UCB189" s="16"/>
      <c r="UCC189" s="16"/>
      <c r="UCD189" s="16"/>
      <c r="UCE189" s="16"/>
      <c r="UCF189" s="16"/>
      <c r="UCG189" s="16"/>
      <c r="UCH189" s="16"/>
      <c r="UCI189" s="16"/>
      <c r="UCJ189" s="16"/>
      <c r="UCK189" s="16"/>
      <c r="UCL189" s="16"/>
      <c r="UCM189" s="16"/>
      <c r="UCN189" s="16"/>
      <c r="UCO189" s="16"/>
      <c r="UCP189" s="16"/>
      <c r="UCQ189" s="16"/>
      <c r="UCR189" s="16"/>
      <c r="UCS189" s="16"/>
      <c r="UCT189" s="16"/>
      <c r="UCU189" s="16"/>
      <c r="UCV189" s="16"/>
      <c r="UCW189" s="16"/>
      <c r="UCX189" s="16"/>
      <c r="UCY189" s="16"/>
      <c r="UCZ189" s="16"/>
      <c r="UDA189" s="16"/>
      <c r="UDB189" s="16"/>
      <c r="UDC189" s="16"/>
      <c r="UDD189" s="16"/>
      <c r="UDE189" s="16"/>
      <c r="UDF189" s="16"/>
      <c r="UDG189" s="16"/>
      <c r="UDH189" s="16"/>
      <c r="UDI189" s="16"/>
      <c r="UDJ189" s="16"/>
      <c r="UDK189" s="16"/>
      <c r="UDL189" s="16"/>
      <c r="UDM189" s="16"/>
      <c r="UDN189" s="16"/>
      <c r="UDO189" s="16"/>
      <c r="UDP189" s="16"/>
      <c r="UDQ189" s="16"/>
      <c r="UDR189" s="16"/>
      <c r="UDS189" s="16"/>
      <c r="UDT189" s="16"/>
      <c r="UDU189" s="16"/>
      <c r="UDV189" s="16"/>
      <c r="UDW189" s="16"/>
      <c r="UDX189" s="16"/>
      <c r="UDY189" s="16"/>
      <c r="UDZ189" s="16"/>
      <c r="UEA189" s="16"/>
      <c r="UEB189" s="16"/>
      <c r="UEC189" s="16"/>
      <c r="UED189" s="16"/>
      <c r="UEE189" s="16"/>
      <c r="UEF189" s="16"/>
      <c r="UEG189" s="16"/>
      <c r="UEH189" s="16"/>
      <c r="UEI189" s="16"/>
      <c r="UEJ189" s="16"/>
      <c r="UEK189" s="16"/>
      <c r="UEL189" s="16"/>
      <c r="UEM189" s="16"/>
      <c r="UEN189" s="16"/>
      <c r="UEO189" s="16"/>
      <c r="UEP189" s="16"/>
      <c r="UEQ189" s="16"/>
      <c r="UER189" s="16"/>
      <c r="UES189" s="16"/>
      <c r="UET189" s="16"/>
      <c r="UEU189" s="16"/>
      <c r="UEV189" s="16"/>
      <c r="UEW189" s="16"/>
      <c r="UEX189" s="16"/>
      <c r="UEY189" s="16"/>
      <c r="UEZ189" s="16"/>
      <c r="UFA189" s="16"/>
      <c r="UFB189" s="16"/>
      <c r="UFC189" s="16"/>
      <c r="UFD189" s="16"/>
      <c r="UFE189" s="16"/>
      <c r="UFF189" s="16"/>
      <c r="UFG189" s="16"/>
      <c r="UFH189" s="16"/>
      <c r="UFI189" s="16"/>
      <c r="UFJ189" s="16"/>
      <c r="UFK189" s="16"/>
      <c r="UFL189" s="16"/>
      <c r="UFM189" s="16"/>
      <c r="UFN189" s="16"/>
      <c r="UFO189" s="16"/>
      <c r="UFP189" s="16"/>
      <c r="UFQ189" s="16"/>
      <c r="UFR189" s="16"/>
      <c r="UFS189" s="16"/>
      <c r="UFT189" s="16"/>
      <c r="UFU189" s="16"/>
      <c r="UFV189" s="16"/>
      <c r="UFW189" s="16"/>
      <c r="UFX189" s="16"/>
      <c r="UFY189" s="16"/>
      <c r="UFZ189" s="16"/>
      <c r="UGA189" s="16"/>
      <c r="UGB189" s="16"/>
      <c r="UGC189" s="16"/>
      <c r="UGD189" s="16"/>
      <c r="UGE189" s="16"/>
      <c r="UGF189" s="16"/>
      <c r="UGG189" s="16"/>
      <c r="UGH189" s="16"/>
      <c r="UGI189" s="16"/>
      <c r="UGJ189" s="16"/>
      <c r="UGK189" s="16"/>
      <c r="UGL189" s="16"/>
      <c r="UGM189" s="16"/>
      <c r="UGN189" s="16"/>
      <c r="UGO189" s="16"/>
      <c r="UGP189" s="16"/>
      <c r="UGQ189" s="16"/>
      <c r="UGR189" s="16"/>
      <c r="UGS189" s="16"/>
      <c r="UGT189" s="16"/>
      <c r="UGU189" s="16"/>
      <c r="UGV189" s="16"/>
      <c r="UGW189" s="16"/>
      <c r="UGX189" s="16"/>
      <c r="UGY189" s="16"/>
      <c r="UGZ189" s="16"/>
      <c r="UHA189" s="16"/>
      <c r="UHB189" s="16"/>
      <c r="UHC189" s="16"/>
      <c r="UHD189" s="16"/>
      <c r="UHE189" s="16"/>
      <c r="UHF189" s="16"/>
      <c r="UHG189" s="16"/>
      <c r="UHH189" s="16"/>
      <c r="UHI189" s="16"/>
      <c r="UHJ189" s="16"/>
      <c r="UHK189" s="16"/>
      <c r="UHL189" s="16"/>
      <c r="UHM189" s="16"/>
      <c r="UHN189" s="16"/>
      <c r="UHO189" s="16"/>
      <c r="UHP189" s="16"/>
      <c r="UHQ189" s="16"/>
      <c r="UHR189" s="16"/>
      <c r="UHS189" s="16"/>
      <c r="UHT189" s="16"/>
      <c r="UHU189" s="16"/>
      <c r="UHV189" s="16"/>
      <c r="UHW189" s="16"/>
      <c r="UHX189" s="16"/>
      <c r="UHY189" s="16"/>
      <c r="UHZ189" s="16"/>
      <c r="UIA189" s="16"/>
      <c r="UIB189" s="16"/>
      <c r="UIC189" s="16"/>
      <c r="UID189" s="16"/>
      <c r="UIE189" s="16"/>
      <c r="UIF189" s="16"/>
      <c r="UIG189" s="16"/>
      <c r="UIH189" s="16"/>
      <c r="UII189" s="16"/>
      <c r="UIJ189" s="16"/>
      <c r="UIK189" s="16"/>
      <c r="UIL189" s="16"/>
      <c r="UIM189" s="16"/>
      <c r="UIN189" s="16"/>
      <c r="UIO189" s="16"/>
      <c r="UIP189" s="16"/>
      <c r="UIQ189" s="16"/>
      <c r="UIR189" s="16"/>
      <c r="UIS189" s="16"/>
      <c r="UIT189" s="16"/>
      <c r="UIU189" s="16"/>
      <c r="UIV189" s="16"/>
      <c r="UIW189" s="16"/>
      <c r="UIX189" s="16"/>
      <c r="UIY189" s="16"/>
      <c r="UIZ189" s="16"/>
      <c r="UJA189" s="16"/>
      <c r="UJB189" s="16"/>
      <c r="UJC189" s="16"/>
      <c r="UJD189" s="16"/>
      <c r="UJE189" s="16"/>
      <c r="UJF189" s="16"/>
      <c r="UJG189" s="16"/>
      <c r="UJH189" s="16"/>
      <c r="UJI189" s="16"/>
      <c r="UJJ189" s="16"/>
      <c r="UJK189" s="16"/>
      <c r="UJL189" s="16"/>
      <c r="UJM189" s="16"/>
      <c r="UJN189" s="16"/>
      <c r="UJO189" s="16"/>
      <c r="UJP189" s="16"/>
      <c r="UJQ189" s="16"/>
      <c r="UJR189" s="16"/>
      <c r="UJS189" s="16"/>
      <c r="UJT189" s="16"/>
      <c r="UJU189" s="16"/>
      <c r="UJV189" s="16"/>
      <c r="UJW189" s="16"/>
      <c r="UJX189" s="16"/>
      <c r="UJY189" s="16"/>
      <c r="UJZ189" s="16"/>
      <c r="UKA189" s="16"/>
      <c r="UKB189" s="16"/>
      <c r="UKC189" s="16"/>
      <c r="UKD189" s="16"/>
      <c r="UKE189" s="16"/>
      <c r="UKF189" s="16"/>
      <c r="UKG189" s="16"/>
      <c r="UKH189" s="16"/>
      <c r="UKI189" s="16"/>
      <c r="UKJ189" s="16"/>
      <c r="UKK189" s="16"/>
      <c r="UKL189" s="16"/>
      <c r="UKM189" s="16"/>
      <c r="UKN189" s="16"/>
      <c r="UKO189" s="16"/>
      <c r="UKP189" s="16"/>
      <c r="UKQ189" s="16"/>
      <c r="UKR189" s="16"/>
      <c r="UKS189" s="16"/>
      <c r="UKT189" s="16"/>
      <c r="UKU189" s="16"/>
      <c r="UKV189" s="16"/>
      <c r="UKW189" s="16"/>
      <c r="UKX189" s="16"/>
      <c r="UKY189" s="16"/>
      <c r="UKZ189" s="16"/>
      <c r="ULA189" s="16"/>
      <c r="ULB189" s="16"/>
      <c r="ULC189" s="16"/>
      <c r="ULD189" s="16"/>
      <c r="ULE189" s="16"/>
      <c r="ULF189" s="16"/>
      <c r="ULG189" s="16"/>
      <c r="ULH189" s="16"/>
      <c r="ULI189" s="16"/>
      <c r="ULJ189" s="16"/>
      <c r="ULK189" s="16"/>
      <c r="ULL189" s="16"/>
      <c r="ULM189" s="16"/>
      <c r="ULN189" s="16"/>
      <c r="ULO189" s="16"/>
      <c r="ULP189" s="16"/>
      <c r="ULQ189" s="16"/>
      <c r="ULR189" s="16"/>
      <c r="ULS189" s="16"/>
      <c r="ULT189" s="16"/>
      <c r="ULU189" s="16"/>
      <c r="ULV189" s="16"/>
      <c r="ULW189" s="16"/>
      <c r="ULX189" s="16"/>
      <c r="ULY189" s="16"/>
      <c r="ULZ189" s="16"/>
      <c r="UMA189" s="16"/>
      <c r="UMB189" s="16"/>
      <c r="UMC189" s="16"/>
      <c r="UMD189" s="16"/>
      <c r="UME189" s="16"/>
      <c r="UMF189" s="16"/>
      <c r="UMG189" s="16"/>
      <c r="UMH189" s="16"/>
      <c r="UMI189" s="16"/>
      <c r="UMJ189" s="16"/>
      <c r="UMK189" s="16"/>
      <c r="UML189" s="16"/>
      <c r="UMM189" s="16"/>
      <c r="UMN189" s="16"/>
      <c r="UMO189" s="16"/>
      <c r="UMP189" s="16"/>
      <c r="UMQ189" s="16"/>
      <c r="UMR189" s="16"/>
      <c r="UMS189" s="16"/>
      <c r="UMT189" s="16"/>
      <c r="UMU189" s="16"/>
      <c r="UMV189" s="16"/>
      <c r="UMW189" s="16"/>
      <c r="UMX189" s="16"/>
      <c r="UMY189" s="16"/>
      <c r="UMZ189" s="16"/>
      <c r="UNA189" s="16"/>
      <c r="UNB189" s="16"/>
      <c r="UNC189" s="16"/>
      <c r="UND189" s="16"/>
      <c r="UNE189" s="16"/>
      <c r="UNF189" s="16"/>
      <c r="UNG189" s="16"/>
      <c r="UNH189" s="16"/>
      <c r="UNI189" s="16"/>
      <c r="UNJ189" s="16"/>
      <c r="UNK189" s="16"/>
      <c r="UNL189" s="16"/>
      <c r="UNM189" s="16"/>
      <c r="UNN189" s="16"/>
      <c r="UNO189" s="16"/>
      <c r="UNP189" s="16"/>
      <c r="UNQ189" s="16"/>
      <c r="UNR189" s="16"/>
      <c r="UNS189" s="16"/>
      <c r="UNT189" s="16"/>
      <c r="UNU189" s="16"/>
      <c r="UNV189" s="16"/>
      <c r="UNW189" s="16"/>
      <c r="UNX189" s="16"/>
      <c r="UNY189" s="16"/>
      <c r="UNZ189" s="16"/>
      <c r="UOA189" s="16"/>
      <c r="UOB189" s="16"/>
      <c r="UOC189" s="16"/>
      <c r="UOD189" s="16"/>
      <c r="UOE189" s="16"/>
      <c r="UOF189" s="16"/>
      <c r="UOG189" s="16"/>
      <c r="UOH189" s="16"/>
      <c r="UOI189" s="16"/>
      <c r="UOJ189" s="16"/>
      <c r="UOK189" s="16"/>
      <c r="UOL189" s="16"/>
      <c r="UOM189" s="16"/>
      <c r="UON189" s="16"/>
      <c r="UOO189" s="16"/>
      <c r="UOP189" s="16"/>
      <c r="UOQ189" s="16"/>
      <c r="UOR189" s="16"/>
      <c r="UOS189" s="16"/>
      <c r="UOT189" s="16"/>
      <c r="UOU189" s="16"/>
      <c r="UOV189" s="16"/>
      <c r="UOW189" s="16"/>
      <c r="UOX189" s="16"/>
      <c r="UOY189" s="16"/>
      <c r="UOZ189" s="16"/>
      <c r="UPA189" s="16"/>
      <c r="UPB189" s="16"/>
      <c r="UPC189" s="16"/>
      <c r="UPD189" s="16"/>
      <c r="UPE189" s="16"/>
      <c r="UPF189" s="16"/>
      <c r="UPG189" s="16"/>
      <c r="UPH189" s="16"/>
      <c r="UPI189" s="16"/>
      <c r="UPJ189" s="16"/>
      <c r="UPK189" s="16"/>
      <c r="UPL189" s="16"/>
      <c r="UPM189" s="16"/>
      <c r="UPN189" s="16"/>
      <c r="UPO189" s="16"/>
      <c r="UPP189" s="16"/>
      <c r="UPQ189" s="16"/>
      <c r="UPR189" s="16"/>
      <c r="UPS189" s="16"/>
      <c r="UPT189" s="16"/>
      <c r="UPU189" s="16"/>
      <c r="UPV189" s="16"/>
      <c r="UPW189" s="16"/>
      <c r="UPX189" s="16"/>
      <c r="UPY189" s="16"/>
      <c r="UPZ189" s="16"/>
      <c r="UQA189" s="16"/>
      <c r="UQB189" s="16"/>
      <c r="UQC189" s="16"/>
      <c r="UQD189" s="16"/>
      <c r="UQE189" s="16"/>
      <c r="UQF189" s="16"/>
      <c r="UQG189" s="16"/>
      <c r="UQH189" s="16"/>
      <c r="UQI189" s="16"/>
      <c r="UQJ189" s="16"/>
      <c r="UQK189" s="16"/>
      <c r="UQL189" s="16"/>
      <c r="UQM189" s="16"/>
      <c r="UQN189" s="16"/>
      <c r="UQO189" s="16"/>
      <c r="UQP189" s="16"/>
      <c r="UQQ189" s="16"/>
      <c r="UQR189" s="16"/>
      <c r="UQS189" s="16"/>
      <c r="UQT189" s="16"/>
      <c r="UQU189" s="16"/>
      <c r="UQV189" s="16"/>
      <c r="UQW189" s="16"/>
      <c r="UQX189" s="16"/>
      <c r="UQY189" s="16"/>
      <c r="UQZ189" s="16"/>
      <c r="URA189" s="16"/>
      <c r="URB189" s="16"/>
      <c r="URC189" s="16"/>
      <c r="URD189" s="16"/>
      <c r="URE189" s="16"/>
      <c r="URF189" s="16"/>
      <c r="URG189" s="16"/>
      <c r="URH189" s="16"/>
      <c r="URI189" s="16"/>
      <c r="URJ189" s="16"/>
      <c r="URK189" s="16"/>
      <c r="URL189" s="16"/>
      <c r="URM189" s="16"/>
      <c r="URN189" s="16"/>
      <c r="URO189" s="16"/>
      <c r="URP189" s="16"/>
      <c r="URQ189" s="16"/>
      <c r="URR189" s="16"/>
      <c r="URS189" s="16"/>
      <c r="URT189" s="16"/>
      <c r="URU189" s="16"/>
      <c r="URV189" s="16"/>
      <c r="URW189" s="16"/>
      <c r="URX189" s="16"/>
      <c r="URY189" s="16"/>
      <c r="URZ189" s="16"/>
      <c r="USA189" s="16"/>
      <c r="USB189" s="16"/>
      <c r="USC189" s="16"/>
      <c r="USD189" s="16"/>
      <c r="USE189" s="16"/>
      <c r="USF189" s="16"/>
      <c r="USG189" s="16"/>
      <c r="USH189" s="16"/>
      <c r="USI189" s="16"/>
      <c r="USJ189" s="16"/>
      <c r="USK189" s="16"/>
      <c r="USL189" s="16"/>
      <c r="USM189" s="16"/>
      <c r="USN189" s="16"/>
      <c r="USO189" s="16"/>
      <c r="USP189" s="16"/>
      <c r="USQ189" s="16"/>
      <c r="USR189" s="16"/>
      <c r="USS189" s="16"/>
      <c r="UST189" s="16"/>
      <c r="USU189" s="16"/>
      <c r="USV189" s="16"/>
      <c r="USW189" s="16"/>
      <c r="USX189" s="16"/>
      <c r="USY189" s="16"/>
      <c r="USZ189" s="16"/>
      <c r="UTA189" s="16"/>
      <c r="UTB189" s="16"/>
      <c r="UTC189" s="16"/>
      <c r="UTD189" s="16"/>
      <c r="UTE189" s="16"/>
      <c r="UTF189" s="16"/>
      <c r="UTG189" s="16"/>
      <c r="UTH189" s="16"/>
      <c r="UTI189" s="16"/>
      <c r="UTJ189" s="16"/>
      <c r="UTK189" s="16"/>
      <c r="UTL189" s="16"/>
      <c r="UTM189" s="16"/>
      <c r="UTN189" s="16"/>
      <c r="UTO189" s="16"/>
      <c r="UTP189" s="16"/>
      <c r="UTQ189" s="16"/>
      <c r="UTR189" s="16"/>
      <c r="UTS189" s="16"/>
      <c r="UTT189" s="16"/>
      <c r="UTU189" s="16"/>
      <c r="UTV189" s="16"/>
      <c r="UTW189" s="16"/>
      <c r="UTX189" s="16"/>
      <c r="UTY189" s="16"/>
      <c r="UTZ189" s="16"/>
      <c r="UUA189" s="16"/>
      <c r="UUB189" s="16"/>
      <c r="UUC189" s="16"/>
      <c r="UUD189" s="16"/>
      <c r="UUE189" s="16"/>
      <c r="UUF189" s="16"/>
      <c r="UUG189" s="16"/>
      <c r="UUH189" s="16"/>
      <c r="UUI189" s="16"/>
      <c r="UUJ189" s="16"/>
      <c r="UUK189" s="16"/>
      <c r="UUL189" s="16"/>
      <c r="UUM189" s="16"/>
      <c r="UUN189" s="16"/>
      <c r="UUO189" s="16"/>
      <c r="UUP189" s="16"/>
      <c r="UUQ189" s="16"/>
      <c r="UUR189" s="16"/>
      <c r="UUS189" s="16"/>
      <c r="UUT189" s="16"/>
      <c r="UUU189" s="16"/>
      <c r="UUV189" s="16"/>
      <c r="UUW189" s="16"/>
      <c r="UUX189" s="16"/>
      <c r="UUY189" s="16"/>
      <c r="UUZ189" s="16"/>
      <c r="UVA189" s="16"/>
      <c r="UVB189" s="16"/>
      <c r="UVC189" s="16"/>
      <c r="UVD189" s="16"/>
      <c r="UVE189" s="16"/>
      <c r="UVF189" s="16"/>
      <c r="UVG189" s="16"/>
      <c r="UVH189" s="16"/>
      <c r="UVI189" s="16"/>
      <c r="UVJ189" s="16"/>
      <c r="UVK189" s="16"/>
      <c r="UVL189" s="16"/>
      <c r="UVM189" s="16"/>
      <c r="UVN189" s="16"/>
      <c r="UVO189" s="16"/>
      <c r="UVP189" s="16"/>
      <c r="UVQ189" s="16"/>
      <c r="UVR189" s="16"/>
      <c r="UVS189" s="16"/>
      <c r="UVT189" s="16"/>
      <c r="UVU189" s="16"/>
      <c r="UVV189" s="16"/>
      <c r="UVW189" s="16"/>
      <c r="UVX189" s="16"/>
      <c r="UVY189" s="16"/>
      <c r="UVZ189" s="16"/>
      <c r="UWA189" s="16"/>
      <c r="UWB189" s="16"/>
      <c r="UWC189" s="16"/>
      <c r="UWD189" s="16"/>
      <c r="UWE189" s="16"/>
      <c r="UWF189" s="16"/>
      <c r="UWG189" s="16"/>
      <c r="UWH189" s="16"/>
      <c r="UWI189" s="16"/>
      <c r="UWJ189" s="16"/>
      <c r="UWK189" s="16"/>
      <c r="UWL189" s="16"/>
      <c r="UWM189" s="16"/>
      <c r="UWN189" s="16"/>
      <c r="UWO189" s="16"/>
      <c r="UWP189" s="16"/>
      <c r="UWQ189" s="16"/>
      <c r="UWR189" s="16"/>
      <c r="UWS189" s="16"/>
      <c r="UWT189" s="16"/>
      <c r="UWU189" s="16"/>
      <c r="UWV189" s="16"/>
      <c r="UWW189" s="16"/>
      <c r="UWX189" s="16"/>
      <c r="UWY189" s="16"/>
      <c r="UWZ189" s="16"/>
      <c r="UXA189" s="16"/>
      <c r="UXB189" s="16"/>
      <c r="UXC189" s="16"/>
      <c r="UXD189" s="16"/>
      <c r="UXE189" s="16"/>
      <c r="UXF189" s="16"/>
      <c r="UXG189" s="16"/>
      <c r="UXH189" s="16"/>
      <c r="UXI189" s="16"/>
      <c r="UXJ189" s="16"/>
      <c r="UXK189" s="16"/>
      <c r="UXL189" s="16"/>
      <c r="UXM189" s="16"/>
      <c r="UXN189" s="16"/>
      <c r="UXO189" s="16"/>
      <c r="UXP189" s="16"/>
      <c r="UXQ189" s="16"/>
      <c r="UXR189" s="16"/>
      <c r="UXS189" s="16"/>
      <c r="UXT189" s="16"/>
      <c r="UXU189" s="16"/>
      <c r="UXV189" s="16"/>
      <c r="UXW189" s="16"/>
      <c r="UXX189" s="16"/>
      <c r="UXY189" s="16"/>
      <c r="UXZ189" s="16"/>
      <c r="UYA189" s="16"/>
      <c r="UYB189" s="16"/>
      <c r="UYC189" s="16"/>
      <c r="UYD189" s="16"/>
      <c r="UYE189" s="16"/>
      <c r="UYF189" s="16"/>
      <c r="UYG189" s="16"/>
      <c r="UYH189" s="16"/>
      <c r="UYI189" s="16"/>
      <c r="UYJ189" s="16"/>
      <c r="UYK189" s="16"/>
      <c r="UYL189" s="16"/>
      <c r="UYM189" s="16"/>
      <c r="UYN189" s="16"/>
      <c r="UYO189" s="16"/>
      <c r="UYP189" s="16"/>
      <c r="UYQ189" s="16"/>
      <c r="UYR189" s="16"/>
      <c r="UYS189" s="16"/>
      <c r="UYT189" s="16"/>
      <c r="UYU189" s="16"/>
      <c r="UYV189" s="16"/>
      <c r="UYW189" s="16"/>
      <c r="UYX189" s="16"/>
      <c r="UYY189" s="16"/>
      <c r="UYZ189" s="16"/>
      <c r="UZA189" s="16"/>
      <c r="UZB189" s="16"/>
      <c r="UZC189" s="16"/>
      <c r="UZD189" s="16"/>
      <c r="UZE189" s="16"/>
      <c r="UZF189" s="16"/>
      <c r="UZG189" s="16"/>
      <c r="UZH189" s="16"/>
      <c r="UZI189" s="16"/>
      <c r="UZJ189" s="16"/>
      <c r="UZK189" s="16"/>
      <c r="UZL189" s="16"/>
      <c r="UZM189" s="16"/>
      <c r="UZN189" s="16"/>
      <c r="UZO189" s="16"/>
      <c r="UZP189" s="16"/>
      <c r="UZQ189" s="16"/>
      <c r="UZR189" s="16"/>
      <c r="UZS189" s="16"/>
      <c r="UZT189" s="16"/>
      <c r="UZU189" s="16"/>
      <c r="UZV189" s="16"/>
      <c r="UZW189" s="16"/>
      <c r="UZX189" s="16"/>
      <c r="UZY189" s="16"/>
      <c r="UZZ189" s="16"/>
      <c r="VAA189" s="16"/>
      <c r="VAB189" s="16"/>
      <c r="VAC189" s="16"/>
      <c r="VAD189" s="16"/>
      <c r="VAE189" s="16"/>
      <c r="VAF189" s="16"/>
      <c r="VAG189" s="16"/>
      <c r="VAH189" s="16"/>
      <c r="VAI189" s="16"/>
      <c r="VAJ189" s="16"/>
      <c r="VAK189" s="16"/>
      <c r="VAL189" s="16"/>
      <c r="VAM189" s="16"/>
      <c r="VAN189" s="16"/>
      <c r="VAO189" s="16"/>
      <c r="VAP189" s="16"/>
      <c r="VAQ189" s="16"/>
      <c r="VAR189" s="16"/>
      <c r="VAS189" s="16"/>
      <c r="VAT189" s="16"/>
      <c r="VAU189" s="16"/>
      <c r="VAV189" s="16"/>
      <c r="VAW189" s="16"/>
      <c r="VAX189" s="16"/>
      <c r="VAY189" s="16"/>
      <c r="VAZ189" s="16"/>
      <c r="VBA189" s="16"/>
      <c r="VBB189" s="16"/>
      <c r="VBC189" s="16"/>
      <c r="VBD189" s="16"/>
      <c r="VBE189" s="16"/>
      <c r="VBF189" s="16"/>
      <c r="VBG189" s="16"/>
      <c r="VBH189" s="16"/>
      <c r="VBI189" s="16"/>
      <c r="VBJ189" s="16"/>
      <c r="VBK189" s="16"/>
      <c r="VBL189" s="16"/>
      <c r="VBM189" s="16"/>
      <c r="VBN189" s="16"/>
      <c r="VBO189" s="16"/>
      <c r="VBP189" s="16"/>
      <c r="VBQ189" s="16"/>
      <c r="VBR189" s="16"/>
      <c r="VBS189" s="16"/>
      <c r="VBT189" s="16"/>
      <c r="VBU189" s="16"/>
      <c r="VBV189" s="16"/>
      <c r="VBW189" s="16"/>
      <c r="VBX189" s="16"/>
      <c r="VBY189" s="16"/>
      <c r="VBZ189" s="16"/>
      <c r="VCA189" s="16"/>
      <c r="VCB189" s="16"/>
      <c r="VCC189" s="16"/>
      <c r="VCD189" s="16"/>
      <c r="VCE189" s="16"/>
      <c r="VCF189" s="16"/>
      <c r="VCG189" s="16"/>
      <c r="VCH189" s="16"/>
      <c r="VCI189" s="16"/>
      <c r="VCJ189" s="16"/>
      <c r="VCK189" s="16"/>
      <c r="VCL189" s="16"/>
      <c r="VCM189" s="16"/>
      <c r="VCN189" s="16"/>
      <c r="VCO189" s="16"/>
      <c r="VCP189" s="16"/>
      <c r="VCQ189" s="16"/>
      <c r="VCR189" s="16"/>
      <c r="VCS189" s="16"/>
      <c r="VCT189" s="16"/>
      <c r="VCU189" s="16"/>
      <c r="VCV189" s="16"/>
      <c r="VCW189" s="16"/>
      <c r="VCX189" s="16"/>
      <c r="VCY189" s="16"/>
      <c r="VCZ189" s="16"/>
      <c r="VDA189" s="16"/>
      <c r="VDB189" s="16"/>
      <c r="VDC189" s="16"/>
      <c r="VDD189" s="16"/>
      <c r="VDE189" s="16"/>
      <c r="VDF189" s="16"/>
      <c r="VDG189" s="16"/>
      <c r="VDH189" s="16"/>
      <c r="VDI189" s="16"/>
      <c r="VDJ189" s="16"/>
      <c r="VDK189" s="16"/>
      <c r="VDL189" s="16"/>
      <c r="VDM189" s="16"/>
      <c r="VDN189" s="16"/>
      <c r="VDO189" s="16"/>
      <c r="VDP189" s="16"/>
      <c r="VDQ189" s="16"/>
      <c r="VDR189" s="16"/>
      <c r="VDS189" s="16"/>
      <c r="VDT189" s="16"/>
      <c r="VDU189" s="16"/>
      <c r="VDV189" s="16"/>
      <c r="VDW189" s="16"/>
      <c r="VDX189" s="16"/>
      <c r="VDY189" s="16"/>
      <c r="VDZ189" s="16"/>
      <c r="VEA189" s="16"/>
      <c r="VEB189" s="16"/>
      <c r="VEC189" s="16"/>
      <c r="VED189" s="16"/>
      <c r="VEE189" s="16"/>
      <c r="VEF189" s="16"/>
      <c r="VEG189" s="16"/>
      <c r="VEH189" s="16"/>
      <c r="VEI189" s="16"/>
      <c r="VEJ189" s="16"/>
      <c r="VEK189" s="16"/>
      <c r="VEL189" s="16"/>
      <c r="VEM189" s="16"/>
      <c r="VEN189" s="16"/>
      <c r="VEO189" s="16"/>
      <c r="VEP189" s="16"/>
      <c r="VEQ189" s="16"/>
      <c r="VER189" s="16"/>
      <c r="VES189" s="16"/>
      <c r="VET189" s="16"/>
      <c r="VEU189" s="16"/>
      <c r="VEV189" s="16"/>
      <c r="VEW189" s="16"/>
      <c r="VEX189" s="16"/>
      <c r="VEY189" s="16"/>
      <c r="VEZ189" s="16"/>
      <c r="VFA189" s="16"/>
      <c r="VFB189" s="16"/>
      <c r="VFC189" s="16"/>
      <c r="VFD189" s="16"/>
      <c r="VFE189" s="16"/>
      <c r="VFF189" s="16"/>
      <c r="VFG189" s="16"/>
      <c r="VFH189" s="16"/>
      <c r="VFI189" s="16"/>
      <c r="VFJ189" s="16"/>
      <c r="VFK189" s="16"/>
      <c r="VFL189" s="16"/>
      <c r="VFM189" s="16"/>
      <c r="VFN189" s="16"/>
      <c r="VFO189" s="16"/>
      <c r="VFP189" s="16"/>
      <c r="VFQ189" s="16"/>
      <c r="VFR189" s="16"/>
      <c r="VFS189" s="16"/>
      <c r="VFT189" s="16"/>
      <c r="VFU189" s="16"/>
      <c r="VFV189" s="16"/>
      <c r="VFW189" s="16"/>
      <c r="VFX189" s="16"/>
      <c r="VFY189" s="16"/>
      <c r="VFZ189" s="16"/>
      <c r="VGA189" s="16"/>
      <c r="VGB189" s="16"/>
      <c r="VGC189" s="16"/>
      <c r="VGD189" s="16"/>
      <c r="VGE189" s="16"/>
      <c r="VGF189" s="16"/>
      <c r="VGG189" s="16"/>
      <c r="VGH189" s="16"/>
      <c r="VGI189" s="16"/>
      <c r="VGJ189" s="16"/>
      <c r="VGK189" s="16"/>
      <c r="VGL189" s="16"/>
      <c r="VGM189" s="16"/>
      <c r="VGN189" s="16"/>
      <c r="VGO189" s="16"/>
      <c r="VGP189" s="16"/>
      <c r="VGQ189" s="16"/>
      <c r="VGR189" s="16"/>
      <c r="VGS189" s="16"/>
      <c r="VGT189" s="16"/>
      <c r="VGU189" s="16"/>
      <c r="VGV189" s="16"/>
      <c r="VGW189" s="16"/>
      <c r="VGX189" s="16"/>
      <c r="VGY189" s="16"/>
      <c r="VGZ189" s="16"/>
      <c r="VHA189" s="16"/>
      <c r="VHB189" s="16"/>
      <c r="VHC189" s="16"/>
      <c r="VHD189" s="16"/>
      <c r="VHE189" s="16"/>
      <c r="VHF189" s="16"/>
      <c r="VHG189" s="16"/>
      <c r="VHH189" s="16"/>
      <c r="VHI189" s="16"/>
      <c r="VHJ189" s="16"/>
      <c r="VHK189" s="16"/>
      <c r="VHL189" s="16"/>
      <c r="VHM189" s="16"/>
      <c r="VHN189" s="16"/>
      <c r="VHO189" s="16"/>
      <c r="VHP189" s="16"/>
      <c r="VHQ189" s="16"/>
      <c r="VHR189" s="16"/>
      <c r="VHS189" s="16"/>
      <c r="VHT189" s="16"/>
      <c r="VHU189" s="16"/>
      <c r="VHV189" s="16"/>
      <c r="VHW189" s="16"/>
      <c r="VHX189" s="16"/>
      <c r="VHY189" s="16"/>
      <c r="VHZ189" s="16"/>
      <c r="VIA189" s="16"/>
      <c r="VIB189" s="16"/>
      <c r="VIC189" s="16"/>
      <c r="VID189" s="16"/>
      <c r="VIE189" s="16"/>
      <c r="VIF189" s="16"/>
      <c r="VIG189" s="16"/>
      <c r="VIH189" s="16"/>
      <c r="VII189" s="16"/>
      <c r="VIJ189" s="16"/>
      <c r="VIK189" s="16"/>
      <c r="VIL189" s="16"/>
      <c r="VIM189" s="16"/>
      <c r="VIN189" s="16"/>
      <c r="VIO189" s="16"/>
      <c r="VIP189" s="16"/>
      <c r="VIQ189" s="16"/>
      <c r="VIR189" s="16"/>
      <c r="VIS189" s="16"/>
      <c r="VIT189" s="16"/>
      <c r="VIU189" s="16"/>
      <c r="VIV189" s="16"/>
      <c r="VIW189" s="16"/>
      <c r="VIX189" s="16"/>
      <c r="VIY189" s="16"/>
      <c r="VIZ189" s="16"/>
      <c r="VJA189" s="16"/>
      <c r="VJB189" s="16"/>
      <c r="VJC189" s="16"/>
      <c r="VJD189" s="16"/>
      <c r="VJE189" s="16"/>
      <c r="VJF189" s="16"/>
      <c r="VJG189" s="16"/>
      <c r="VJH189" s="16"/>
      <c r="VJI189" s="16"/>
      <c r="VJJ189" s="16"/>
      <c r="VJK189" s="16"/>
      <c r="VJL189" s="16"/>
      <c r="VJM189" s="16"/>
      <c r="VJN189" s="16"/>
      <c r="VJO189" s="16"/>
      <c r="VJP189" s="16"/>
      <c r="VJQ189" s="16"/>
      <c r="VJR189" s="16"/>
      <c r="VJS189" s="16"/>
      <c r="VJT189" s="16"/>
      <c r="VJU189" s="16"/>
      <c r="VJV189" s="16"/>
      <c r="VJW189" s="16"/>
      <c r="VJX189" s="16"/>
      <c r="VJY189" s="16"/>
      <c r="VJZ189" s="16"/>
      <c r="VKA189" s="16"/>
      <c r="VKB189" s="16"/>
      <c r="VKC189" s="16"/>
      <c r="VKD189" s="16"/>
      <c r="VKE189" s="16"/>
      <c r="VKF189" s="16"/>
      <c r="VKG189" s="16"/>
      <c r="VKH189" s="16"/>
      <c r="VKI189" s="16"/>
      <c r="VKJ189" s="16"/>
      <c r="VKK189" s="16"/>
      <c r="VKL189" s="16"/>
      <c r="VKM189" s="16"/>
      <c r="VKN189" s="16"/>
      <c r="VKO189" s="16"/>
      <c r="VKP189" s="16"/>
      <c r="VKQ189" s="16"/>
      <c r="VKR189" s="16"/>
      <c r="VKS189" s="16"/>
      <c r="VKT189" s="16"/>
      <c r="VKU189" s="16"/>
      <c r="VKV189" s="16"/>
      <c r="VKW189" s="16"/>
      <c r="VKX189" s="16"/>
      <c r="VKY189" s="16"/>
      <c r="VKZ189" s="16"/>
      <c r="VLA189" s="16"/>
      <c r="VLB189" s="16"/>
      <c r="VLC189" s="16"/>
      <c r="VLD189" s="16"/>
      <c r="VLE189" s="16"/>
      <c r="VLF189" s="16"/>
      <c r="VLG189" s="16"/>
      <c r="VLH189" s="16"/>
      <c r="VLI189" s="16"/>
      <c r="VLJ189" s="16"/>
      <c r="VLK189" s="16"/>
      <c r="VLL189" s="16"/>
      <c r="VLM189" s="16"/>
      <c r="VLN189" s="16"/>
      <c r="VLO189" s="16"/>
      <c r="VLP189" s="16"/>
      <c r="VLQ189" s="16"/>
      <c r="VLR189" s="16"/>
      <c r="VLS189" s="16"/>
      <c r="VLT189" s="16"/>
      <c r="VLU189" s="16"/>
      <c r="VLV189" s="16"/>
      <c r="VLW189" s="16"/>
      <c r="VLX189" s="16"/>
      <c r="VLY189" s="16"/>
      <c r="VLZ189" s="16"/>
      <c r="VMA189" s="16"/>
      <c r="VMB189" s="16"/>
      <c r="VMC189" s="16"/>
      <c r="VMD189" s="16"/>
      <c r="VME189" s="16"/>
      <c r="VMF189" s="16"/>
      <c r="VMG189" s="16"/>
      <c r="VMH189" s="16"/>
      <c r="VMI189" s="16"/>
      <c r="VMJ189" s="16"/>
      <c r="VMK189" s="16"/>
      <c r="VML189" s="16"/>
      <c r="VMM189" s="16"/>
      <c r="VMN189" s="16"/>
      <c r="VMO189" s="16"/>
      <c r="VMP189" s="16"/>
      <c r="VMQ189" s="16"/>
      <c r="VMR189" s="16"/>
      <c r="VMS189" s="16"/>
      <c r="VMT189" s="16"/>
      <c r="VMU189" s="16"/>
      <c r="VMV189" s="16"/>
      <c r="VMW189" s="16"/>
      <c r="VMX189" s="16"/>
      <c r="VMY189" s="16"/>
      <c r="VMZ189" s="16"/>
      <c r="VNA189" s="16"/>
      <c r="VNB189" s="16"/>
      <c r="VNC189" s="16"/>
      <c r="VND189" s="16"/>
      <c r="VNE189" s="16"/>
      <c r="VNF189" s="16"/>
      <c r="VNG189" s="16"/>
      <c r="VNH189" s="16"/>
      <c r="VNI189" s="16"/>
      <c r="VNJ189" s="16"/>
      <c r="VNK189" s="16"/>
      <c r="VNL189" s="16"/>
      <c r="VNM189" s="16"/>
      <c r="VNN189" s="16"/>
      <c r="VNO189" s="16"/>
      <c r="VNP189" s="16"/>
      <c r="VNQ189" s="16"/>
      <c r="VNR189" s="16"/>
      <c r="VNS189" s="16"/>
      <c r="VNT189" s="16"/>
      <c r="VNU189" s="16"/>
      <c r="VNV189" s="16"/>
      <c r="VNW189" s="16"/>
      <c r="VNX189" s="16"/>
      <c r="VNY189" s="16"/>
      <c r="VNZ189" s="16"/>
      <c r="VOA189" s="16"/>
      <c r="VOB189" s="16"/>
      <c r="VOC189" s="16"/>
      <c r="VOD189" s="16"/>
      <c r="VOE189" s="16"/>
      <c r="VOF189" s="16"/>
      <c r="VOG189" s="16"/>
      <c r="VOH189" s="16"/>
      <c r="VOI189" s="16"/>
      <c r="VOJ189" s="16"/>
      <c r="VOK189" s="16"/>
      <c r="VOL189" s="16"/>
      <c r="VOM189" s="16"/>
      <c r="VON189" s="16"/>
      <c r="VOO189" s="16"/>
      <c r="VOP189" s="16"/>
      <c r="VOQ189" s="16"/>
      <c r="VOR189" s="16"/>
      <c r="VOS189" s="16"/>
      <c r="VOT189" s="16"/>
      <c r="VOU189" s="16"/>
      <c r="VOV189" s="16"/>
      <c r="VOW189" s="16"/>
      <c r="VOX189" s="16"/>
      <c r="VOY189" s="16"/>
      <c r="VOZ189" s="16"/>
      <c r="VPA189" s="16"/>
      <c r="VPB189" s="16"/>
      <c r="VPC189" s="16"/>
      <c r="VPD189" s="16"/>
      <c r="VPE189" s="16"/>
      <c r="VPF189" s="16"/>
      <c r="VPG189" s="16"/>
      <c r="VPH189" s="16"/>
      <c r="VPI189" s="16"/>
      <c r="VPJ189" s="16"/>
      <c r="VPK189" s="16"/>
      <c r="VPL189" s="16"/>
      <c r="VPM189" s="16"/>
      <c r="VPN189" s="16"/>
      <c r="VPO189" s="16"/>
      <c r="VPP189" s="16"/>
      <c r="VPQ189" s="16"/>
      <c r="VPR189" s="16"/>
      <c r="VPS189" s="16"/>
      <c r="VPT189" s="16"/>
      <c r="VPU189" s="16"/>
      <c r="VPV189" s="16"/>
      <c r="VPW189" s="16"/>
      <c r="VPX189" s="16"/>
      <c r="VPY189" s="16"/>
      <c r="VPZ189" s="16"/>
      <c r="VQA189" s="16"/>
      <c r="VQB189" s="16"/>
      <c r="VQC189" s="16"/>
      <c r="VQD189" s="16"/>
      <c r="VQE189" s="16"/>
      <c r="VQF189" s="16"/>
      <c r="VQG189" s="16"/>
      <c r="VQH189" s="16"/>
      <c r="VQI189" s="16"/>
      <c r="VQJ189" s="16"/>
      <c r="VQK189" s="16"/>
      <c r="VQL189" s="16"/>
      <c r="VQM189" s="16"/>
      <c r="VQN189" s="16"/>
      <c r="VQO189" s="16"/>
      <c r="VQP189" s="16"/>
      <c r="VQQ189" s="16"/>
      <c r="VQR189" s="16"/>
      <c r="VQS189" s="16"/>
      <c r="VQT189" s="16"/>
      <c r="VQU189" s="16"/>
      <c r="VQV189" s="16"/>
      <c r="VQW189" s="16"/>
      <c r="VQX189" s="16"/>
      <c r="VQY189" s="16"/>
      <c r="VQZ189" s="16"/>
      <c r="VRA189" s="16"/>
      <c r="VRB189" s="16"/>
      <c r="VRC189" s="16"/>
      <c r="VRD189" s="16"/>
      <c r="VRE189" s="16"/>
      <c r="VRF189" s="16"/>
      <c r="VRG189" s="16"/>
      <c r="VRH189" s="16"/>
      <c r="VRI189" s="16"/>
      <c r="VRJ189" s="16"/>
      <c r="VRK189" s="16"/>
      <c r="VRL189" s="16"/>
      <c r="VRM189" s="16"/>
      <c r="VRN189" s="16"/>
      <c r="VRO189" s="16"/>
      <c r="VRP189" s="16"/>
      <c r="VRQ189" s="16"/>
      <c r="VRR189" s="16"/>
      <c r="VRS189" s="16"/>
      <c r="VRT189" s="16"/>
      <c r="VRU189" s="16"/>
      <c r="VRV189" s="16"/>
      <c r="VRW189" s="16"/>
      <c r="VRX189" s="16"/>
      <c r="VRY189" s="16"/>
      <c r="VRZ189" s="16"/>
      <c r="VSA189" s="16"/>
      <c r="VSB189" s="16"/>
      <c r="VSC189" s="16"/>
      <c r="VSD189" s="16"/>
      <c r="VSE189" s="16"/>
      <c r="VSF189" s="16"/>
      <c r="VSG189" s="16"/>
      <c r="VSH189" s="16"/>
      <c r="VSI189" s="16"/>
      <c r="VSJ189" s="16"/>
      <c r="VSK189" s="16"/>
      <c r="VSL189" s="16"/>
      <c r="VSM189" s="16"/>
      <c r="VSN189" s="16"/>
      <c r="VSO189" s="16"/>
      <c r="VSP189" s="16"/>
      <c r="VSQ189" s="16"/>
      <c r="VSR189" s="16"/>
      <c r="VSS189" s="16"/>
      <c r="VST189" s="16"/>
      <c r="VSU189" s="16"/>
      <c r="VSV189" s="16"/>
      <c r="VSW189" s="16"/>
      <c r="VSX189" s="16"/>
      <c r="VSY189" s="16"/>
      <c r="VSZ189" s="16"/>
      <c r="VTA189" s="16"/>
      <c r="VTB189" s="16"/>
      <c r="VTC189" s="16"/>
      <c r="VTD189" s="16"/>
      <c r="VTE189" s="16"/>
      <c r="VTF189" s="16"/>
      <c r="VTG189" s="16"/>
      <c r="VTH189" s="16"/>
      <c r="VTI189" s="16"/>
      <c r="VTJ189" s="16"/>
      <c r="VTK189" s="16"/>
      <c r="VTL189" s="16"/>
      <c r="VTM189" s="16"/>
      <c r="VTN189" s="16"/>
      <c r="VTO189" s="16"/>
      <c r="VTP189" s="16"/>
      <c r="VTQ189" s="16"/>
      <c r="VTR189" s="16"/>
      <c r="VTS189" s="16"/>
      <c r="VTT189" s="16"/>
      <c r="VTU189" s="16"/>
      <c r="VTV189" s="16"/>
      <c r="VTW189" s="16"/>
      <c r="VTX189" s="16"/>
      <c r="VTY189" s="16"/>
      <c r="VTZ189" s="16"/>
      <c r="VUA189" s="16"/>
      <c r="VUB189" s="16"/>
      <c r="VUC189" s="16"/>
      <c r="VUD189" s="16"/>
      <c r="VUE189" s="16"/>
      <c r="VUF189" s="16"/>
      <c r="VUG189" s="16"/>
      <c r="VUH189" s="16"/>
      <c r="VUI189" s="16"/>
      <c r="VUJ189" s="16"/>
      <c r="VUK189" s="16"/>
      <c r="VUL189" s="16"/>
      <c r="VUM189" s="16"/>
      <c r="VUN189" s="16"/>
      <c r="VUO189" s="16"/>
      <c r="VUP189" s="16"/>
      <c r="VUQ189" s="16"/>
      <c r="VUR189" s="16"/>
      <c r="VUS189" s="16"/>
      <c r="VUT189" s="16"/>
      <c r="VUU189" s="16"/>
      <c r="VUV189" s="16"/>
      <c r="VUW189" s="16"/>
      <c r="VUX189" s="16"/>
      <c r="VUY189" s="16"/>
      <c r="VUZ189" s="16"/>
      <c r="VVA189" s="16"/>
      <c r="VVB189" s="16"/>
      <c r="VVC189" s="16"/>
      <c r="VVD189" s="16"/>
      <c r="VVE189" s="16"/>
      <c r="VVF189" s="16"/>
      <c r="VVG189" s="16"/>
      <c r="VVH189" s="16"/>
      <c r="VVI189" s="16"/>
      <c r="VVJ189" s="16"/>
      <c r="VVK189" s="16"/>
      <c r="VVL189" s="16"/>
      <c r="VVM189" s="16"/>
      <c r="VVN189" s="16"/>
      <c r="VVO189" s="16"/>
      <c r="VVP189" s="16"/>
      <c r="VVQ189" s="16"/>
      <c r="VVR189" s="16"/>
      <c r="VVS189" s="16"/>
      <c r="VVT189" s="16"/>
      <c r="VVU189" s="16"/>
      <c r="VVV189" s="16"/>
      <c r="VVW189" s="16"/>
      <c r="VVX189" s="16"/>
      <c r="VVY189" s="16"/>
      <c r="VVZ189" s="16"/>
      <c r="VWA189" s="16"/>
      <c r="VWB189" s="16"/>
      <c r="VWC189" s="16"/>
      <c r="VWD189" s="16"/>
      <c r="VWE189" s="16"/>
      <c r="VWF189" s="16"/>
      <c r="VWG189" s="16"/>
      <c r="VWH189" s="16"/>
      <c r="VWI189" s="16"/>
      <c r="VWJ189" s="16"/>
      <c r="VWK189" s="16"/>
      <c r="VWL189" s="16"/>
      <c r="VWM189" s="16"/>
      <c r="VWN189" s="16"/>
      <c r="VWO189" s="16"/>
      <c r="VWP189" s="16"/>
      <c r="VWQ189" s="16"/>
      <c r="VWR189" s="16"/>
      <c r="VWS189" s="16"/>
      <c r="VWT189" s="16"/>
      <c r="VWU189" s="16"/>
      <c r="VWV189" s="16"/>
      <c r="VWW189" s="16"/>
      <c r="VWX189" s="16"/>
      <c r="VWY189" s="16"/>
      <c r="VWZ189" s="16"/>
      <c r="VXA189" s="16"/>
      <c r="VXB189" s="16"/>
      <c r="VXC189" s="16"/>
      <c r="VXD189" s="16"/>
      <c r="VXE189" s="16"/>
      <c r="VXF189" s="16"/>
      <c r="VXG189" s="16"/>
      <c r="VXH189" s="16"/>
      <c r="VXI189" s="16"/>
      <c r="VXJ189" s="16"/>
      <c r="VXK189" s="16"/>
      <c r="VXL189" s="16"/>
      <c r="VXM189" s="16"/>
      <c r="VXN189" s="16"/>
      <c r="VXO189" s="16"/>
      <c r="VXP189" s="16"/>
      <c r="VXQ189" s="16"/>
      <c r="VXR189" s="16"/>
      <c r="VXS189" s="16"/>
      <c r="VXT189" s="16"/>
      <c r="VXU189" s="16"/>
      <c r="VXV189" s="16"/>
      <c r="VXW189" s="16"/>
      <c r="VXX189" s="16"/>
      <c r="VXY189" s="16"/>
      <c r="VXZ189" s="16"/>
      <c r="VYA189" s="16"/>
      <c r="VYB189" s="16"/>
      <c r="VYC189" s="16"/>
      <c r="VYD189" s="16"/>
      <c r="VYE189" s="16"/>
      <c r="VYF189" s="16"/>
      <c r="VYG189" s="16"/>
      <c r="VYH189" s="16"/>
      <c r="VYI189" s="16"/>
      <c r="VYJ189" s="16"/>
      <c r="VYK189" s="16"/>
      <c r="VYL189" s="16"/>
      <c r="VYM189" s="16"/>
      <c r="VYN189" s="16"/>
      <c r="VYO189" s="16"/>
      <c r="VYP189" s="16"/>
      <c r="VYQ189" s="16"/>
      <c r="VYR189" s="16"/>
      <c r="VYS189" s="16"/>
      <c r="VYT189" s="16"/>
      <c r="VYU189" s="16"/>
      <c r="VYV189" s="16"/>
      <c r="VYW189" s="16"/>
      <c r="VYX189" s="16"/>
      <c r="VYY189" s="16"/>
      <c r="VYZ189" s="16"/>
      <c r="VZA189" s="16"/>
      <c r="VZB189" s="16"/>
      <c r="VZC189" s="16"/>
      <c r="VZD189" s="16"/>
      <c r="VZE189" s="16"/>
      <c r="VZF189" s="16"/>
      <c r="VZG189" s="16"/>
      <c r="VZH189" s="16"/>
      <c r="VZI189" s="16"/>
      <c r="VZJ189" s="16"/>
      <c r="VZK189" s="16"/>
      <c r="VZL189" s="16"/>
      <c r="VZM189" s="16"/>
      <c r="VZN189" s="16"/>
      <c r="VZO189" s="16"/>
      <c r="VZP189" s="16"/>
      <c r="VZQ189" s="16"/>
      <c r="VZR189" s="16"/>
      <c r="VZS189" s="16"/>
      <c r="VZT189" s="16"/>
      <c r="VZU189" s="16"/>
      <c r="VZV189" s="16"/>
      <c r="VZW189" s="16"/>
      <c r="VZX189" s="16"/>
      <c r="VZY189" s="16"/>
      <c r="VZZ189" s="16"/>
      <c r="WAA189" s="16"/>
      <c r="WAB189" s="16"/>
      <c r="WAC189" s="16"/>
      <c r="WAD189" s="16"/>
      <c r="WAE189" s="16"/>
      <c r="WAF189" s="16"/>
      <c r="WAG189" s="16"/>
      <c r="WAH189" s="16"/>
      <c r="WAI189" s="16"/>
      <c r="WAJ189" s="16"/>
      <c r="WAK189" s="16"/>
      <c r="WAL189" s="16"/>
      <c r="WAM189" s="16"/>
      <c r="WAN189" s="16"/>
      <c r="WAO189" s="16"/>
      <c r="WAP189" s="16"/>
      <c r="WAQ189" s="16"/>
      <c r="WAR189" s="16"/>
      <c r="WAS189" s="16"/>
      <c r="WAT189" s="16"/>
      <c r="WAU189" s="16"/>
      <c r="WAV189" s="16"/>
      <c r="WAW189" s="16"/>
      <c r="WAX189" s="16"/>
      <c r="WAY189" s="16"/>
      <c r="WAZ189" s="16"/>
      <c r="WBA189" s="16"/>
      <c r="WBB189" s="16"/>
      <c r="WBC189" s="16"/>
      <c r="WBD189" s="16"/>
      <c r="WBE189" s="16"/>
      <c r="WBF189" s="16"/>
      <c r="WBG189" s="16"/>
      <c r="WBH189" s="16"/>
      <c r="WBI189" s="16"/>
      <c r="WBJ189" s="16"/>
      <c r="WBK189" s="16"/>
      <c r="WBL189" s="16"/>
      <c r="WBM189" s="16"/>
      <c r="WBN189" s="16"/>
      <c r="WBO189" s="16"/>
      <c r="WBP189" s="16"/>
      <c r="WBQ189" s="16"/>
      <c r="WBR189" s="16"/>
      <c r="WBS189" s="16"/>
      <c r="WBT189" s="16"/>
      <c r="WBU189" s="16"/>
      <c r="WBV189" s="16"/>
      <c r="WBW189" s="16"/>
      <c r="WBX189" s="16"/>
      <c r="WBY189" s="16"/>
      <c r="WBZ189" s="16"/>
      <c r="WCA189" s="16"/>
      <c r="WCB189" s="16"/>
      <c r="WCC189" s="16"/>
      <c r="WCD189" s="16"/>
      <c r="WCE189" s="16"/>
      <c r="WCF189" s="16"/>
      <c r="WCG189" s="16"/>
      <c r="WCH189" s="16"/>
      <c r="WCI189" s="16"/>
      <c r="WCJ189" s="16"/>
      <c r="WCK189" s="16"/>
      <c r="WCL189" s="16"/>
      <c r="WCM189" s="16"/>
      <c r="WCN189" s="16"/>
      <c r="WCO189" s="16"/>
      <c r="WCP189" s="16"/>
      <c r="WCQ189" s="16"/>
      <c r="WCR189" s="16"/>
      <c r="WCS189" s="16"/>
      <c r="WCT189" s="16"/>
      <c r="WCU189" s="16"/>
      <c r="WCV189" s="16"/>
      <c r="WCW189" s="16"/>
      <c r="WCX189" s="16"/>
      <c r="WCY189" s="16"/>
      <c r="WCZ189" s="16"/>
      <c r="WDA189" s="16"/>
      <c r="WDB189" s="16"/>
      <c r="WDC189" s="16"/>
      <c r="WDD189" s="16"/>
      <c r="WDE189" s="16"/>
      <c r="WDF189" s="16"/>
      <c r="WDG189" s="16"/>
      <c r="WDH189" s="16"/>
      <c r="WDI189" s="16"/>
      <c r="WDJ189" s="16"/>
      <c r="WDK189" s="16"/>
      <c r="WDL189" s="16"/>
      <c r="WDM189" s="16"/>
      <c r="WDN189" s="16"/>
      <c r="WDO189" s="16"/>
      <c r="WDP189" s="16"/>
      <c r="WDQ189" s="16"/>
      <c r="WDR189" s="16"/>
      <c r="WDS189" s="16"/>
      <c r="WDT189" s="16"/>
      <c r="WDU189" s="16"/>
      <c r="WDV189" s="16"/>
      <c r="WDW189" s="16"/>
      <c r="WDX189" s="16"/>
      <c r="WDY189" s="16"/>
      <c r="WDZ189" s="16"/>
      <c r="WEA189" s="16"/>
      <c r="WEB189" s="16"/>
      <c r="WEC189" s="16"/>
      <c r="WED189" s="16"/>
      <c r="WEE189" s="16"/>
      <c r="WEF189" s="16"/>
      <c r="WEG189" s="16"/>
      <c r="WEH189" s="16"/>
      <c r="WEI189" s="16"/>
      <c r="WEJ189" s="16"/>
      <c r="WEK189" s="16"/>
      <c r="WEL189" s="16"/>
      <c r="WEM189" s="16"/>
      <c r="WEN189" s="16"/>
      <c r="WEO189" s="16"/>
      <c r="WEP189" s="16"/>
      <c r="WEQ189" s="16"/>
      <c r="WER189" s="16"/>
      <c r="WES189" s="16"/>
      <c r="WET189" s="16"/>
      <c r="WEU189" s="16"/>
      <c r="WEV189" s="16"/>
      <c r="WEW189" s="16"/>
      <c r="WEX189" s="16"/>
      <c r="WEY189" s="16"/>
      <c r="WEZ189" s="16"/>
      <c r="WFA189" s="16"/>
      <c r="WFB189" s="16"/>
      <c r="WFC189" s="16"/>
      <c r="WFD189" s="16"/>
      <c r="WFE189" s="16"/>
      <c r="WFF189" s="16"/>
      <c r="WFG189" s="16"/>
      <c r="WFH189" s="16"/>
      <c r="WFI189" s="16"/>
      <c r="WFJ189" s="16"/>
      <c r="WFK189" s="16"/>
      <c r="WFL189" s="16"/>
      <c r="WFM189" s="16"/>
      <c r="WFN189" s="16"/>
      <c r="WFO189" s="16"/>
      <c r="WFP189" s="16"/>
      <c r="WFQ189" s="16"/>
      <c r="WFR189" s="16"/>
      <c r="WFS189" s="16"/>
      <c r="WFT189" s="16"/>
      <c r="WFU189" s="16"/>
      <c r="WFV189" s="16"/>
      <c r="WFW189" s="16"/>
      <c r="WFX189" s="16"/>
      <c r="WFY189" s="16"/>
      <c r="WFZ189" s="16"/>
      <c r="WGA189" s="16"/>
      <c r="WGB189" s="16"/>
      <c r="WGC189" s="16"/>
      <c r="WGD189" s="16"/>
      <c r="WGE189" s="16"/>
      <c r="WGF189" s="16"/>
      <c r="WGG189" s="16"/>
      <c r="WGH189" s="16"/>
      <c r="WGI189" s="16"/>
      <c r="WGJ189" s="16"/>
      <c r="WGK189" s="16"/>
      <c r="WGL189" s="16"/>
      <c r="WGM189" s="16"/>
      <c r="WGN189" s="16"/>
      <c r="WGO189" s="16"/>
      <c r="WGP189" s="16"/>
      <c r="WGQ189" s="16"/>
      <c r="WGR189" s="16"/>
      <c r="WGS189" s="16"/>
      <c r="WGT189" s="16"/>
      <c r="WGU189" s="16"/>
      <c r="WGV189" s="16"/>
      <c r="WGW189" s="16"/>
      <c r="WGX189" s="16"/>
      <c r="WGY189" s="16"/>
      <c r="WGZ189" s="16"/>
      <c r="WHA189" s="16"/>
      <c r="WHB189" s="16"/>
      <c r="WHC189" s="16"/>
      <c r="WHD189" s="16"/>
      <c r="WHE189" s="16"/>
      <c r="WHF189" s="16"/>
      <c r="WHG189" s="16"/>
      <c r="WHH189" s="16"/>
      <c r="WHI189" s="16"/>
      <c r="WHJ189" s="16"/>
      <c r="WHK189" s="16"/>
      <c r="WHL189" s="16"/>
      <c r="WHM189" s="16"/>
      <c r="WHN189" s="16"/>
      <c r="WHO189" s="16"/>
      <c r="WHP189" s="16"/>
      <c r="WHQ189" s="16"/>
      <c r="WHR189" s="16"/>
      <c r="WHS189" s="16"/>
      <c r="WHT189" s="16"/>
      <c r="WHU189" s="16"/>
      <c r="WHV189" s="16"/>
      <c r="WHW189" s="16"/>
      <c r="WHX189" s="16"/>
      <c r="WHY189" s="16"/>
      <c r="WHZ189" s="16"/>
      <c r="WIA189" s="16"/>
      <c r="WIB189" s="16"/>
      <c r="WIC189" s="16"/>
      <c r="WID189" s="16"/>
      <c r="WIE189" s="16"/>
      <c r="WIF189" s="16"/>
      <c r="WIG189" s="16"/>
      <c r="WIH189" s="16"/>
      <c r="WII189" s="16"/>
      <c r="WIJ189" s="16"/>
      <c r="WIK189" s="16"/>
      <c r="WIL189" s="16"/>
      <c r="WIM189" s="16"/>
      <c r="WIN189" s="16"/>
      <c r="WIO189" s="16"/>
      <c r="WIP189" s="16"/>
      <c r="WIQ189" s="16"/>
      <c r="WIR189" s="16"/>
      <c r="WIS189" s="16"/>
      <c r="WIT189" s="16"/>
      <c r="WIU189" s="16"/>
      <c r="WIV189" s="16"/>
      <c r="WIW189" s="16"/>
      <c r="WIX189" s="16"/>
      <c r="WIY189" s="16"/>
      <c r="WIZ189" s="16"/>
      <c r="WJA189" s="16"/>
      <c r="WJB189" s="16"/>
      <c r="WJC189" s="16"/>
      <c r="WJD189" s="16"/>
      <c r="WJE189" s="16"/>
      <c r="WJF189" s="16"/>
      <c r="WJG189" s="16"/>
      <c r="WJH189" s="16"/>
      <c r="WJI189" s="16"/>
      <c r="WJJ189" s="16"/>
      <c r="WJK189" s="16"/>
      <c r="WJL189" s="16"/>
      <c r="WJM189" s="16"/>
      <c r="WJN189" s="16"/>
      <c r="WJO189" s="16"/>
      <c r="WJP189" s="16"/>
      <c r="WJQ189" s="16"/>
      <c r="WJR189" s="16"/>
      <c r="WJS189" s="16"/>
      <c r="WJT189" s="16"/>
      <c r="WJU189" s="16"/>
      <c r="WJV189" s="16"/>
      <c r="WJW189" s="16"/>
      <c r="WJX189" s="16"/>
      <c r="WJY189" s="16"/>
      <c r="WJZ189" s="16"/>
      <c r="WKA189" s="16"/>
      <c r="WKB189" s="16"/>
      <c r="WKC189" s="16"/>
      <c r="WKD189" s="16"/>
      <c r="WKE189" s="16"/>
      <c r="WKF189" s="16"/>
      <c r="WKG189" s="16"/>
      <c r="WKH189" s="16"/>
      <c r="WKI189" s="16"/>
      <c r="WKJ189" s="16"/>
      <c r="WKK189" s="16"/>
      <c r="WKL189" s="16"/>
      <c r="WKM189" s="16"/>
      <c r="WKN189" s="16"/>
      <c r="WKO189" s="16"/>
      <c r="WKP189" s="16"/>
      <c r="WKQ189" s="16"/>
      <c r="WKR189" s="16"/>
      <c r="WKS189" s="16"/>
      <c r="WKT189" s="16"/>
      <c r="WKU189" s="16"/>
      <c r="WKV189" s="16"/>
      <c r="WKW189" s="16"/>
      <c r="WKX189" s="16"/>
      <c r="WKY189" s="16"/>
      <c r="WKZ189" s="16"/>
      <c r="WLA189" s="16"/>
      <c r="WLB189" s="16"/>
      <c r="WLC189" s="16"/>
      <c r="WLD189" s="16"/>
      <c r="WLE189" s="16"/>
      <c r="WLF189" s="16"/>
      <c r="WLG189" s="16"/>
      <c r="WLH189" s="16"/>
      <c r="WLI189" s="16"/>
      <c r="WLJ189" s="16"/>
      <c r="WLK189" s="16"/>
      <c r="WLL189" s="16"/>
      <c r="WLM189" s="16"/>
      <c r="WLN189" s="16"/>
      <c r="WLO189" s="16"/>
      <c r="WLP189" s="16"/>
      <c r="WLQ189" s="16"/>
      <c r="WLR189" s="16"/>
      <c r="WLS189" s="16"/>
      <c r="WLT189" s="16"/>
      <c r="WLU189" s="16"/>
      <c r="WLV189" s="16"/>
      <c r="WLW189" s="16"/>
      <c r="WLX189" s="16"/>
      <c r="WLY189" s="16"/>
      <c r="WLZ189" s="16"/>
      <c r="WMA189" s="16"/>
      <c r="WMB189" s="16"/>
      <c r="WMC189" s="16"/>
      <c r="WMD189" s="16"/>
      <c r="WME189" s="16"/>
      <c r="WMF189" s="16"/>
      <c r="WMG189" s="16"/>
      <c r="WMH189" s="16"/>
      <c r="WMI189" s="16"/>
      <c r="WMJ189" s="16"/>
      <c r="WMK189" s="16"/>
      <c r="WML189" s="16"/>
      <c r="WMM189" s="16"/>
      <c r="WMN189" s="16"/>
      <c r="WMO189" s="16"/>
      <c r="WMP189" s="16"/>
      <c r="WMQ189" s="16"/>
      <c r="WMR189" s="16"/>
      <c r="WMS189" s="16"/>
      <c r="WMT189" s="16"/>
      <c r="WMU189" s="16"/>
      <c r="WMV189" s="16"/>
      <c r="WMW189" s="16"/>
      <c r="WMX189" s="16"/>
      <c r="WMY189" s="16"/>
      <c r="WMZ189" s="16"/>
      <c r="WNA189" s="16"/>
      <c r="WNB189" s="16"/>
      <c r="WNC189" s="16"/>
      <c r="WND189" s="16"/>
      <c r="WNE189" s="16"/>
      <c r="WNF189" s="16"/>
      <c r="WNG189" s="16"/>
      <c r="WNH189" s="16"/>
      <c r="WNI189" s="16"/>
      <c r="WNJ189" s="16"/>
      <c r="WNK189" s="16"/>
      <c r="WNL189" s="16"/>
      <c r="WNM189" s="16"/>
      <c r="WNN189" s="16"/>
      <c r="WNO189" s="16"/>
      <c r="WNP189" s="16"/>
      <c r="WNQ189" s="16"/>
      <c r="WNR189" s="16"/>
      <c r="WNS189" s="16"/>
      <c r="WNT189" s="16"/>
      <c r="WNU189" s="16"/>
      <c r="WNV189" s="16"/>
      <c r="WNW189" s="16"/>
      <c r="WNX189" s="16"/>
      <c r="WNY189" s="16"/>
      <c r="WNZ189" s="16"/>
      <c r="WOA189" s="16"/>
      <c r="WOB189" s="16"/>
      <c r="WOC189" s="16"/>
      <c r="WOD189" s="16"/>
      <c r="WOE189" s="16"/>
      <c r="WOF189" s="16"/>
      <c r="WOG189" s="16"/>
      <c r="WOH189" s="16"/>
      <c r="WOI189" s="16"/>
      <c r="WOJ189" s="16"/>
      <c r="WOK189" s="16"/>
      <c r="WOL189" s="16"/>
      <c r="WOM189" s="16"/>
      <c r="WON189" s="16"/>
      <c r="WOO189" s="16"/>
      <c r="WOP189" s="16"/>
      <c r="WOQ189" s="16"/>
      <c r="WOR189" s="16"/>
      <c r="WOS189" s="16"/>
      <c r="WOT189" s="16"/>
      <c r="WOU189" s="16"/>
      <c r="WOV189" s="16"/>
      <c r="WOW189" s="16"/>
      <c r="WOX189" s="16"/>
      <c r="WOY189" s="16"/>
      <c r="WOZ189" s="16"/>
      <c r="WPA189" s="16"/>
      <c r="WPB189" s="16"/>
      <c r="WPC189" s="16"/>
      <c r="WPD189" s="16"/>
      <c r="WPE189" s="16"/>
      <c r="WPF189" s="16"/>
      <c r="WPG189" s="16"/>
      <c r="WPH189" s="16"/>
      <c r="WPI189" s="16"/>
      <c r="WPJ189" s="16"/>
      <c r="WPK189" s="16"/>
      <c r="WPL189" s="16"/>
      <c r="WPM189" s="16"/>
      <c r="WPN189" s="16"/>
      <c r="WPO189" s="16"/>
      <c r="WPP189" s="16"/>
      <c r="WPQ189" s="16"/>
      <c r="WPR189" s="16"/>
      <c r="WPS189" s="16"/>
      <c r="WPT189" s="16"/>
      <c r="WPU189" s="16"/>
      <c r="WPV189" s="16"/>
      <c r="WPW189" s="16"/>
      <c r="WPX189" s="16"/>
      <c r="WPY189" s="16"/>
      <c r="WPZ189" s="16"/>
      <c r="WQA189" s="16"/>
      <c r="WQB189" s="16"/>
      <c r="WQC189" s="16"/>
      <c r="WQD189" s="16"/>
      <c r="WQE189" s="16"/>
      <c r="WQF189" s="16"/>
      <c r="WQG189" s="16"/>
      <c r="WQH189" s="16"/>
      <c r="WQI189" s="16"/>
      <c r="WQJ189" s="16"/>
      <c r="WQK189" s="16"/>
      <c r="WQL189" s="16"/>
      <c r="WQM189" s="16"/>
      <c r="WQN189" s="16"/>
      <c r="WQO189" s="16"/>
      <c r="WQP189" s="16"/>
      <c r="WQQ189" s="16"/>
      <c r="WQR189" s="16"/>
      <c r="WQS189" s="16"/>
      <c r="WQT189" s="16"/>
      <c r="WQU189" s="16"/>
      <c r="WQV189" s="16"/>
      <c r="WQW189" s="16"/>
      <c r="WQX189" s="16"/>
      <c r="WQY189" s="16"/>
      <c r="WQZ189" s="16"/>
      <c r="WRA189" s="16"/>
      <c r="WRB189" s="16"/>
      <c r="WRC189" s="16"/>
      <c r="WRD189" s="16"/>
      <c r="WRE189" s="16"/>
      <c r="WRF189" s="16"/>
      <c r="WRG189" s="16"/>
      <c r="WRH189" s="16"/>
      <c r="WRI189" s="16"/>
      <c r="WRJ189" s="16"/>
      <c r="WRK189" s="16"/>
      <c r="WRL189" s="16"/>
      <c r="WRM189" s="16"/>
      <c r="WRN189" s="16"/>
      <c r="WRO189" s="16"/>
      <c r="WRP189" s="16"/>
      <c r="WRQ189" s="16"/>
      <c r="WRR189" s="16"/>
      <c r="WRS189" s="16"/>
      <c r="WRT189" s="16"/>
      <c r="WRU189" s="16"/>
      <c r="WRV189" s="16"/>
      <c r="WRW189" s="16"/>
      <c r="WRX189" s="16"/>
      <c r="WRY189" s="16"/>
      <c r="WRZ189" s="16"/>
      <c r="WSA189" s="16"/>
      <c r="WSB189" s="16"/>
      <c r="WSC189" s="16"/>
      <c r="WSD189" s="16"/>
      <c r="WSE189" s="16"/>
      <c r="WSF189" s="16"/>
      <c r="WSG189" s="16"/>
      <c r="WSH189" s="16"/>
      <c r="WSI189" s="16"/>
      <c r="WSJ189" s="16"/>
      <c r="WSK189" s="16"/>
      <c r="WSL189" s="16"/>
      <c r="WSM189" s="16"/>
      <c r="WSN189" s="16"/>
      <c r="WSO189" s="16"/>
      <c r="WSP189" s="16"/>
      <c r="WSQ189" s="16"/>
      <c r="WSR189" s="16"/>
      <c r="WSS189" s="16"/>
      <c r="WST189" s="16"/>
      <c r="WSU189" s="16"/>
      <c r="WSV189" s="16"/>
      <c r="WSW189" s="16"/>
      <c r="WSX189" s="16"/>
      <c r="WSY189" s="16"/>
      <c r="WSZ189" s="16"/>
      <c r="WTA189" s="16"/>
      <c r="WTB189" s="16"/>
      <c r="WTC189" s="16"/>
      <c r="WTD189" s="16"/>
      <c r="WTE189" s="16"/>
      <c r="WTF189" s="16"/>
      <c r="WTG189" s="16"/>
      <c r="WTH189" s="16"/>
      <c r="WTI189" s="16"/>
      <c r="WTJ189" s="16"/>
      <c r="WTK189" s="16"/>
      <c r="WTL189" s="16"/>
      <c r="WTM189" s="16"/>
      <c r="WTN189" s="16"/>
      <c r="WTO189" s="16"/>
      <c r="WTP189" s="16"/>
      <c r="WTQ189" s="16"/>
      <c r="WTR189" s="16"/>
      <c r="WTS189" s="16"/>
      <c r="WTT189" s="16"/>
      <c r="WTU189" s="16"/>
      <c r="WTV189" s="16"/>
      <c r="WTW189" s="16"/>
      <c r="WTX189" s="16"/>
      <c r="WTY189" s="16"/>
      <c r="WTZ189" s="16"/>
      <c r="WUA189" s="16"/>
      <c r="WUB189" s="16"/>
      <c r="WUC189" s="16"/>
      <c r="WUD189" s="16"/>
      <c r="WUE189" s="16"/>
      <c r="WUF189" s="16"/>
      <c r="WUG189" s="16"/>
      <c r="WUH189" s="16"/>
      <c r="WUI189" s="16"/>
      <c r="WUJ189" s="16"/>
      <c r="WUK189" s="16"/>
      <c r="WUL189" s="16"/>
      <c r="WUM189" s="16"/>
      <c r="WUN189" s="16"/>
      <c r="WUO189" s="16"/>
      <c r="WUP189" s="16"/>
      <c r="WUQ189" s="16"/>
      <c r="WUR189" s="16"/>
      <c r="WUS189" s="16"/>
      <c r="WUT189" s="16"/>
      <c r="WUU189" s="16"/>
      <c r="WUV189" s="16"/>
      <c r="WUW189" s="16"/>
      <c r="WUX189" s="16"/>
      <c r="WUY189" s="16"/>
      <c r="WUZ189" s="16"/>
      <c r="WVA189" s="16"/>
      <c r="WVB189" s="16"/>
      <c r="WVC189" s="16"/>
      <c r="WVD189" s="16"/>
      <c r="WVE189" s="16"/>
      <c r="WVF189" s="16"/>
      <c r="WVG189" s="16"/>
      <c r="WVH189" s="16"/>
      <c r="WVI189" s="16"/>
      <c r="WVJ189" s="16"/>
      <c r="WVK189" s="16"/>
      <c r="WVL189" s="16"/>
      <c r="WVM189" s="16"/>
      <c r="WVN189" s="16"/>
      <c r="WVO189" s="16"/>
      <c r="WVP189" s="16"/>
      <c r="WVQ189" s="16"/>
      <c r="WVR189" s="16"/>
      <c r="WVS189" s="16"/>
      <c r="WVT189" s="16"/>
      <c r="WVU189" s="16"/>
      <c r="WVV189" s="16"/>
      <c r="WVW189" s="16"/>
      <c r="WVX189" s="16"/>
      <c r="WVY189" s="16"/>
      <c r="WVZ189" s="16"/>
      <c r="WWA189" s="16"/>
      <c r="WWB189" s="16"/>
      <c r="WWC189" s="16"/>
      <c r="WWD189" s="16"/>
      <c r="WWE189" s="16"/>
      <c r="WWF189" s="16"/>
      <c r="WWG189" s="16"/>
      <c r="WWH189" s="16"/>
      <c r="WWI189" s="16"/>
      <c r="WWJ189" s="16"/>
      <c r="WWK189" s="16"/>
      <c r="WWL189" s="16"/>
      <c r="WWM189" s="16"/>
      <c r="WWN189" s="16"/>
      <c r="WWO189" s="16"/>
      <c r="WWP189" s="16"/>
      <c r="WWQ189" s="16"/>
      <c r="WWR189" s="16"/>
      <c r="WWS189" s="16"/>
      <c r="WWT189" s="16"/>
      <c r="WWU189" s="16"/>
      <c r="WWV189" s="16"/>
      <c r="WWW189" s="16"/>
      <c r="WWX189" s="16"/>
      <c r="WWY189" s="16"/>
      <c r="WWZ189" s="16"/>
      <c r="WXA189" s="16"/>
      <c r="WXB189" s="16"/>
      <c r="WXC189" s="16"/>
      <c r="WXD189" s="16"/>
      <c r="WXE189" s="16"/>
      <c r="WXF189" s="16"/>
      <c r="WXG189" s="16"/>
      <c r="WXH189" s="16"/>
      <c r="WXI189" s="16"/>
      <c r="WXJ189" s="16"/>
      <c r="WXK189" s="16"/>
      <c r="WXL189" s="16"/>
      <c r="WXM189" s="16"/>
      <c r="WXN189" s="16"/>
      <c r="WXO189" s="16"/>
      <c r="WXP189" s="16"/>
      <c r="WXQ189" s="16"/>
      <c r="WXR189" s="16"/>
      <c r="WXS189" s="16"/>
      <c r="WXT189" s="16"/>
      <c r="WXU189" s="16"/>
      <c r="WXV189" s="16"/>
      <c r="WXW189" s="16"/>
      <c r="WXX189" s="16"/>
      <c r="WXY189" s="16"/>
      <c r="WXZ189" s="16"/>
      <c r="WYA189" s="16"/>
      <c r="WYB189" s="16"/>
      <c r="WYC189" s="16"/>
      <c r="WYD189" s="16"/>
      <c r="WYE189" s="16"/>
      <c r="WYF189" s="16"/>
      <c r="WYG189" s="16"/>
      <c r="WYH189" s="16"/>
      <c r="WYI189" s="16"/>
      <c r="WYJ189" s="16"/>
      <c r="WYK189" s="16"/>
      <c r="WYL189" s="16"/>
      <c r="WYM189" s="16"/>
      <c r="WYN189" s="16"/>
      <c r="WYO189" s="16"/>
      <c r="WYP189" s="16"/>
      <c r="WYQ189" s="16"/>
      <c r="WYR189" s="16"/>
      <c r="WYS189" s="16"/>
      <c r="WYT189" s="16"/>
      <c r="WYU189" s="16"/>
      <c r="WYV189" s="16"/>
      <c r="WYW189" s="16"/>
      <c r="WYX189" s="16"/>
      <c r="WYY189" s="16"/>
      <c r="WYZ189" s="16"/>
      <c r="WZA189" s="16"/>
      <c r="WZB189" s="16"/>
      <c r="WZC189" s="16"/>
      <c r="WZD189" s="16"/>
      <c r="WZE189" s="16"/>
      <c r="WZF189" s="16"/>
      <c r="WZG189" s="16"/>
      <c r="WZH189" s="16"/>
      <c r="WZI189" s="16"/>
      <c r="WZJ189" s="16"/>
      <c r="WZK189" s="16"/>
      <c r="WZL189" s="16"/>
      <c r="WZM189" s="16"/>
      <c r="WZN189" s="16"/>
      <c r="WZO189" s="16"/>
      <c r="WZP189" s="16"/>
      <c r="WZQ189" s="16"/>
      <c r="WZR189" s="16"/>
      <c r="WZS189" s="16"/>
      <c r="WZT189" s="16"/>
      <c r="WZU189" s="16"/>
      <c r="WZV189" s="16"/>
      <c r="WZW189" s="16"/>
      <c r="WZX189" s="16"/>
      <c r="WZY189" s="16"/>
      <c r="WZZ189" s="16"/>
      <c r="XAA189" s="16"/>
      <c r="XAB189" s="16"/>
      <c r="XAC189" s="16"/>
      <c r="XAD189" s="16"/>
      <c r="XAE189" s="16"/>
      <c r="XAF189" s="16"/>
      <c r="XAG189" s="16"/>
      <c r="XAH189" s="16"/>
      <c r="XAI189" s="16"/>
      <c r="XAJ189" s="16"/>
      <c r="XAK189" s="16"/>
      <c r="XAL189" s="16"/>
      <c r="XAM189" s="16"/>
      <c r="XAN189" s="16"/>
      <c r="XAO189" s="16"/>
      <c r="XAP189" s="16"/>
      <c r="XAQ189" s="16"/>
      <c r="XAR189" s="16"/>
      <c r="XAS189" s="16"/>
      <c r="XAT189" s="16"/>
      <c r="XAU189" s="16"/>
      <c r="XAV189" s="16"/>
      <c r="XAW189" s="16"/>
      <c r="XAX189" s="16"/>
      <c r="XAY189" s="16"/>
      <c r="XAZ189" s="16"/>
      <c r="XBA189" s="16"/>
      <c r="XBB189" s="16"/>
      <c r="XBC189" s="16"/>
      <c r="XBD189" s="16"/>
      <c r="XBE189" s="16"/>
      <c r="XBF189" s="16"/>
      <c r="XBG189" s="16"/>
      <c r="XBH189" s="16"/>
      <c r="XBI189" s="16"/>
      <c r="XBJ189" s="16"/>
      <c r="XBK189" s="16"/>
      <c r="XBL189" s="16"/>
      <c r="XBM189" s="16"/>
      <c r="XBN189" s="16"/>
      <c r="XBO189" s="16"/>
      <c r="XBP189" s="16"/>
      <c r="XBQ189" s="16"/>
      <c r="XBR189" s="16"/>
      <c r="XBS189" s="16"/>
      <c r="XBT189" s="16"/>
      <c r="XBU189" s="16"/>
      <c r="XBV189" s="16"/>
      <c r="XBW189" s="16"/>
      <c r="XBX189" s="16"/>
      <c r="XBY189" s="16"/>
      <c r="XBZ189" s="16"/>
      <c r="XCA189" s="16"/>
      <c r="XCB189" s="16"/>
      <c r="XCC189" s="16"/>
      <c r="XCD189" s="16"/>
      <c r="XCE189" s="16"/>
      <c r="XCF189" s="16"/>
      <c r="XCG189" s="16"/>
      <c r="XCH189" s="16"/>
      <c r="XCI189" s="16"/>
      <c r="XCJ189" s="16"/>
      <c r="XCK189" s="16"/>
      <c r="XCL189" s="16"/>
      <c r="XCM189" s="16"/>
      <c r="XCN189" s="16"/>
      <c r="XCO189" s="16"/>
      <c r="XCP189" s="16"/>
      <c r="XCQ189" s="16"/>
      <c r="XCR189" s="16"/>
      <c r="XCS189" s="16"/>
      <c r="XCT189" s="16"/>
      <c r="XCU189" s="16"/>
      <c r="XCV189" s="16"/>
      <c r="XCW189" s="16"/>
      <c r="XCX189" s="16"/>
      <c r="XCY189" s="16"/>
      <c r="XCZ189" s="16"/>
      <c r="XDA189" s="16"/>
      <c r="XDB189" s="16"/>
      <c r="XDC189" s="16"/>
      <c r="XDD189" s="16"/>
      <c r="XDE189" s="16"/>
      <c r="XDF189" s="16"/>
      <c r="XDG189" s="16"/>
      <c r="XDH189" s="16"/>
      <c r="XDI189" s="16"/>
      <c r="XDJ189" s="16"/>
      <c r="XDK189" s="16"/>
      <c r="XDL189" s="16"/>
      <c r="XDM189" s="16"/>
      <c r="XDN189" s="16"/>
      <c r="XDO189" s="16"/>
      <c r="XDP189" s="16"/>
      <c r="XDQ189" s="16"/>
      <c r="XDR189" s="16"/>
      <c r="XDS189" s="16"/>
      <c r="XDT189" s="16"/>
      <c r="XDU189" s="16"/>
      <c r="XDV189" s="16"/>
      <c r="XDW189" s="16"/>
      <c r="XDX189" s="16"/>
      <c r="XDY189" s="16"/>
      <c r="XDZ189" s="16"/>
      <c r="XEA189" s="16"/>
      <c r="XEB189" s="16"/>
      <c r="XEC189" s="16"/>
      <c r="XED189" s="16"/>
      <c r="XEE189" s="16"/>
      <c r="XEF189" s="16"/>
      <c r="XEG189" s="16"/>
      <c r="XEH189" s="16"/>
      <c r="XEI189" s="16"/>
      <c r="XEJ189" s="16"/>
      <c r="XEK189" s="16"/>
      <c r="XEL189" s="16"/>
      <c r="XEM189" s="16"/>
      <c r="XEN189" s="16"/>
      <c r="XEO189" s="16"/>
      <c r="XEP189" s="16"/>
      <c r="XEQ189" s="16"/>
      <c r="XER189" s="16"/>
      <c r="XES189" s="16"/>
      <c r="XET189" s="16"/>
      <c r="XEU189" s="16"/>
      <c r="XEV189" s="16"/>
      <c r="XEW189" s="16"/>
      <c r="XEX189" s="16"/>
      <c r="XEY189" s="16"/>
      <c r="XEZ189" s="16"/>
      <c r="XFA189" s="16"/>
      <c r="XFB189" s="16"/>
      <c r="XFC189" s="16"/>
      <c r="XFD189" s="16"/>
    </row>
    <row r="190" spans="1:16384" ht="51">
      <c r="A190" s="7" t="s">
        <v>120</v>
      </c>
      <c r="B190" s="7" t="s">
        <v>670</v>
      </c>
      <c r="C190" s="8" t="s">
        <v>671</v>
      </c>
      <c r="D190" s="63" t="s">
        <v>60</v>
      </c>
      <c r="E190" s="7" t="s">
        <v>94</v>
      </c>
      <c r="F190" s="7"/>
      <c r="G190" s="76" t="s">
        <v>672</v>
      </c>
      <c r="H190" s="69" t="s">
        <v>172</v>
      </c>
      <c r="I190" s="70">
        <f>IFERROR(VLOOKUP(H190,Dados!$A$1:$B$58,2,0),"")</f>
        <v>15</v>
      </c>
      <c r="J190" s="116">
        <f>VLOOKUP(H190,Dados!$A$2:$E$53,4,0)</f>
        <v>100</v>
      </c>
      <c r="K190" s="77">
        <v>14129.5</v>
      </c>
      <c r="L190" s="2"/>
    </row>
    <row r="191" spans="1:16384" ht="122.4">
      <c r="A191" s="7" t="s">
        <v>452</v>
      </c>
      <c r="B191" s="7" t="s">
        <v>673</v>
      </c>
      <c r="C191" s="8" t="s">
        <v>674</v>
      </c>
      <c r="D191" s="63" t="s">
        <v>90</v>
      </c>
      <c r="E191" s="7" t="s">
        <v>161</v>
      </c>
      <c r="F191" s="7"/>
      <c r="G191" s="76" t="s">
        <v>810</v>
      </c>
      <c r="H191" s="69" t="s">
        <v>163</v>
      </c>
      <c r="I191" s="70">
        <f>IFERROR(VLOOKUP(H191,Dados!$A$1:$B$58,2,0),"")</f>
        <v>2</v>
      </c>
      <c r="J191" s="116">
        <f>VLOOKUP(H191,Dados!$A$2:$E$53,4,0)</f>
        <v>10</v>
      </c>
      <c r="K191" s="83">
        <v>12589.87</v>
      </c>
      <c r="L191" s="2"/>
    </row>
    <row r="192" spans="1:16384" ht="122.4">
      <c r="A192" s="7" t="s">
        <v>504</v>
      </c>
      <c r="B192" s="7" t="s">
        <v>679</v>
      </c>
      <c r="C192" s="8" t="s">
        <v>680</v>
      </c>
      <c r="D192" s="63" t="s">
        <v>681</v>
      </c>
      <c r="E192" s="7" t="s">
        <v>138</v>
      </c>
      <c r="F192" s="7"/>
      <c r="G192" s="76" t="s">
        <v>770</v>
      </c>
      <c r="H192" s="69" t="s">
        <v>761</v>
      </c>
      <c r="I192" s="70">
        <f>IFERROR(VLOOKUP(H192,Dados!$A$1:$B$58,2,0),"")</f>
        <v>8</v>
      </c>
      <c r="J192" s="116">
        <f>VLOOKUP(H192,Dados!$A$2:$E$53,4,0)</f>
        <v>60</v>
      </c>
      <c r="K192" s="83">
        <v>77128.320000000007</v>
      </c>
      <c r="L192" s="2"/>
    </row>
    <row r="193" spans="1:12" ht="132.6">
      <c r="A193" s="7" t="s">
        <v>504</v>
      </c>
      <c r="B193" s="7" t="s">
        <v>682</v>
      </c>
      <c r="C193" s="8" t="s">
        <v>546</v>
      </c>
      <c r="D193" s="63" t="s">
        <v>132</v>
      </c>
      <c r="E193" s="7" t="s">
        <v>752</v>
      </c>
      <c r="F193" s="7"/>
      <c r="G193" s="76" t="s">
        <v>786</v>
      </c>
      <c r="H193" s="69" t="s">
        <v>165</v>
      </c>
      <c r="I193" s="70">
        <f>IFERROR(VLOOKUP(H193,Dados!$A$1:$B$58,2,0),"")</f>
        <v>4</v>
      </c>
      <c r="J193" s="116">
        <f>VLOOKUP(H193,Dados!$A$2:$E$53,4,0)</f>
        <v>20</v>
      </c>
      <c r="K193" s="2"/>
    </row>
    <row r="194" spans="1:12" s="24" customFormat="1" ht="81.599999999999994">
      <c r="A194" s="7" t="s">
        <v>6</v>
      </c>
      <c r="B194" s="7" t="s">
        <v>708</v>
      </c>
      <c r="C194" s="15" t="s">
        <v>709</v>
      </c>
      <c r="D194" s="7" t="s">
        <v>4</v>
      </c>
      <c r="E194" s="7" t="s">
        <v>154</v>
      </c>
      <c r="F194" s="7"/>
      <c r="G194" s="8" t="s">
        <v>799</v>
      </c>
      <c r="H194" s="15" t="s">
        <v>170</v>
      </c>
      <c r="I194" s="66">
        <f>IFERROR(VLOOKUP(H194,Dados!$A$1:$B$58,2,0),"")</f>
        <v>10</v>
      </c>
      <c r="J194" s="116">
        <f>VLOOKUP(H194,Dados!$A$2:$E$53,4,0)</f>
        <v>80</v>
      </c>
      <c r="K194" s="88"/>
      <c r="L194" s="67"/>
    </row>
    <row r="195" spans="1:12" ht="40.799999999999997">
      <c r="A195" s="7" t="s">
        <v>120</v>
      </c>
      <c r="B195" s="7" t="s">
        <v>702</v>
      </c>
      <c r="C195" s="8" t="s">
        <v>731</v>
      </c>
      <c r="D195" s="63" t="s">
        <v>60</v>
      </c>
      <c r="E195" s="7" t="s">
        <v>94</v>
      </c>
      <c r="F195" s="7"/>
      <c r="G195" s="76" t="s">
        <v>803</v>
      </c>
      <c r="H195" s="69" t="s">
        <v>170</v>
      </c>
      <c r="I195" s="70">
        <f>IFERROR(VLOOKUP(H195,Dados!$A$1:$B$58,2,0),"")</f>
        <v>10</v>
      </c>
      <c r="J195" s="116">
        <f>VLOOKUP(H195,Dados!$A$2:$E$53,4,0)</f>
        <v>80</v>
      </c>
      <c r="K195" s="2"/>
    </row>
    <row r="196" spans="1:12" ht="91.8">
      <c r="A196" s="7" t="s">
        <v>135</v>
      </c>
      <c r="B196" s="7" t="s">
        <v>729</v>
      </c>
      <c r="C196" s="8" t="s">
        <v>730</v>
      </c>
      <c r="D196" s="63" t="s">
        <v>60</v>
      </c>
      <c r="E196" s="7" t="s">
        <v>94</v>
      </c>
      <c r="F196" s="7" t="s">
        <v>782</v>
      </c>
      <c r="G196" s="76" t="s">
        <v>787</v>
      </c>
      <c r="H196" s="69" t="s">
        <v>172</v>
      </c>
      <c r="I196" s="70">
        <f>IFERROR(VLOOKUP(H196,Dados!$A$1:$B$58,2,0),"")</f>
        <v>15</v>
      </c>
      <c r="J196" s="116">
        <f>VLOOKUP(H196,Dados!$A$2:$E$53,4,0)</f>
        <v>100</v>
      </c>
      <c r="K196" s="2"/>
    </row>
    <row r="197" spans="1:12" ht="91.8">
      <c r="A197" s="7" t="s">
        <v>452</v>
      </c>
      <c r="B197" s="7" t="s">
        <v>740</v>
      </c>
      <c r="C197" s="8" t="s">
        <v>741</v>
      </c>
      <c r="D197" s="63" t="s">
        <v>90</v>
      </c>
      <c r="E197" s="7" t="s">
        <v>11</v>
      </c>
      <c r="F197" s="7"/>
      <c r="G197" s="76" t="s">
        <v>811</v>
      </c>
      <c r="H197" s="69" t="s">
        <v>163</v>
      </c>
      <c r="I197" s="70">
        <f>IFERROR(VLOOKUP(H197,Dados!$A$1:$B$58,2,0),"")</f>
        <v>2</v>
      </c>
      <c r="J197" s="116">
        <f>VLOOKUP(H197,Dados!$A$2:$E$53,4,0)</f>
        <v>10</v>
      </c>
      <c r="K197" s="2"/>
    </row>
    <row r="198" spans="1:12" ht="61.2">
      <c r="A198" s="7" t="s">
        <v>135</v>
      </c>
      <c r="B198" s="7" t="s">
        <v>742</v>
      </c>
      <c r="C198" s="8" t="s">
        <v>743</v>
      </c>
      <c r="D198" s="63" t="s">
        <v>35</v>
      </c>
      <c r="E198" s="7" t="s">
        <v>138</v>
      </c>
      <c r="F198" s="7"/>
      <c r="G198" s="76" t="s">
        <v>801</v>
      </c>
      <c r="H198" s="69" t="s">
        <v>761</v>
      </c>
      <c r="I198" s="70">
        <f>IFERROR(VLOOKUP(H198,Dados!$A$1:$B$58,2,0),"")</f>
        <v>8</v>
      </c>
      <c r="J198" s="116">
        <f>VLOOKUP(H198,Dados!$A$2:$E$53,4,0)</f>
        <v>60</v>
      </c>
      <c r="K198" s="2"/>
    </row>
    <row r="199" spans="1:12" ht="40.799999999999997">
      <c r="A199" s="7" t="s">
        <v>6</v>
      </c>
      <c r="B199" s="7" t="s">
        <v>744</v>
      </c>
      <c r="C199" s="8" t="s">
        <v>745</v>
      </c>
      <c r="D199" s="63" t="s">
        <v>681</v>
      </c>
      <c r="E199" s="7" t="s">
        <v>154</v>
      </c>
      <c r="F199" s="7"/>
      <c r="G199" s="76" t="s">
        <v>780</v>
      </c>
      <c r="H199" s="69" t="s">
        <v>163</v>
      </c>
      <c r="I199" s="70">
        <f>IFERROR(VLOOKUP(H199,Dados!$A$1:$B$58,2,0),"")</f>
        <v>2</v>
      </c>
      <c r="J199" s="116">
        <f>VLOOKUP(H199,Dados!$A$2:$E$53,4,0)</f>
        <v>10</v>
      </c>
      <c r="K199" s="2"/>
    </row>
    <row r="200" spans="1:12" ht="40.799999999999997">
      <c r="A200" s="7" t="s">
        <v>6</v>
      </c>
      <c r="B200" s="7" t="s">
        <v>765</v>
      </c>
      <c r="C200" s="8" t="s">
        <v>781</v>
      </c>
      <c r="D200" s="63" t="s">
        <v>3</v>
      </c>
      <c r="E200" s="7" t="s">
        <v>154</v>
      </c>
      <c r="F200" s="7"/>
      <c r="G200" s="76" t="s">
        <v>780</v>
      </c>
      <c r="H200" s="69" t="s">
        <v>163</v>
      </c>
      <c r="I200" s="70">
        <f>IFERROR(VLOOKUP(H200,Dados!$A$1:$B$58,2,0),"")</f>
        <v>2</v>
      </c>
      <c r="J200" s="116">
        <f>VLOOKUP(H200,Dados!$A$2:$E$53,4,0)</f>
        <v>10</v>
      </c>
      <c r="K200" s="2"/>
    </row>
    <row r="201" spans="1:12" ht="30.6">
      <c r="A201" s="7" t="s">
        <v>504</v>
      </c>
      <c r="B201" s="7" t="s">
        <v>773</v>
      </c>
      <c r="C201" s="8" t="s">
        <v>774</v>
      </c>
      <c r="D201" s="63" t="s">
        <v>57</v>
      </c>
      <c r="E201" s="7" t="s">
        <v>11</v>
      </c>
      <c r="F201" s="7"/>
      <c r="G201" s="76" t="s">
        <v>791</v>
      </c>
      <c r="H201" s="69" t="s">
        <v>163</v>
      </c>
      <c r="I201" s="70">
        <f>IFERROR(VLOOKUP(H201,Dados!$A$1:$B$58,2,0),"")</f>
        <v>2</v>
      </c>
      <c r="J201" s="116">
        <f>VLOOKUP(H201,Dados!$A$2:$E$53,4,0)</f>
        <v>10</v>
      </c>
      <c r="K201" s="2"/>
    </row>
    <row r="202" spans="1:12" ht="61.2">
      <c r="A202" s="7" t="s">
        <v>452</v>
      </c>
      <c r="B202" s="7" t="s">
        <v>789</v>
      </c>
      <c r="C202" s="8" t="s">
        <v>790</v>
      </c>
      <c r="D202" s="63" t="s">
        <v>60</v>
      </c>
      <c r="E202" s="7" t="s">
        <v>94</v>
      </c>
      <c r="F202" s="7"/>
      <c r="G202" s="76" t="s">
        <v>807</v>
      </c>
      <c r="H202" s="69" t="s">
        <v>170</v>
      </c>
      <c r="I202" s="70">
        <f>IFERROR(VLOOKUP(H202,Dados!$A$1:$B$58,2,0),"")</f>
        <v>10</v>
      </c>
      <c r="J202" s="116">
        <f>VLOOKUP(H202,Dados!$A$2:$E$53,4,0)</f>
        <v>80</v>
      </c>
      <c r="K202" s="2"/>
    </row>
    <row r="203" spans="1:12" ht="20.399999999999999">
      <c r="A203" s="7" t="s">
        <v>618</v>
      </c>
      <c r="B203" s="7" t="s">
        <v>792</v>
      </c>
      <c r="C203" s="8" t="s">
        <v>793</v>
      </c>
      <c r="D203" s="63" t="s">
        <v>4</v>
      </c>
      <c r="E203" s="7" t="s">
        <v>12</v>
      </c>
      <c r="F203" s="7"/>
      <c r="G203" s="76" t="s">
        <v>804</v>
      </c>
      <c r="H203" s="69" t="s">
        <v>164</v>
      </c>
      <c r="I203" s="70">
        <f>IFERROR(VLOOKUP(H203,Dados!$A$1:$B$58,2,0),"")</f>
        <v>3</v>
      </c>
      <c r="J203" s="116">
        <f>VLOOKUP(H203,Dados!$A$2:$E$53,4,0)</f>
        <v>15</v>
      </c>
      <c r="K203" s="2"/>
    </row>
    <row r="204" spans="1:12" ht="12" customHeight="1">
      <c r="F204" s="98"/>
    </row>
    <row r="205" spans="1:12" ht="12" customHeight="1">
      <c r="F205" s="98"/>
    </row>
    <row r="206" spans="1:12" ht="12" customHeight="1">
      <c r="F206" s="98"/>
    </row>
    <row r="207" spans="1:12" ht="12" customHeight="1">
      <c r="F207" s="98"/>
    </row>
    <row r="208" spans="1:12" ht="12" customHeight="1">
      <c r="F208" s="98"/>
    </row>
    <row r="209" spans="6:6" ht="12" customHeight="1">
      <c r="F209" s="98"/>
    </row>
    <row r="210" spans="6:6" ht="12" customHeight="1">
      <c r="F210" s="98"/>
    </row>
    <row r="211" spans="6:6" ht="12" customHeight="1">
      <c r="F211" s="98"/>
    </row>
    <row r="212" spans="6:6" ht="12" customHeight="1">
      <c r="F212" s="98"/>
    </row>
    <row r="213" spans="6:6" ht="12" customHeight="1">
      <c r="F213" s="98"/>
    </row>
    <row r="214" spans="6:6" ht="12" customHeight="1">
      <c r="F214" s="98"/>
    </row>
    <row r="215" spans="6:6" ht="12" customHeight="1">
      <c r="F215" s="98"/>
    </row>
    <row r="216" spans="6:6" ht="12" customHeight="1">
      <c r="F216" s="98"/>
    </row>
    <row r="217" spans="6:6" ht="12" customHeight="1">
      <c r="F217" s="98"/>
    </row>
    <row r="218" spans="6:6" ht="12" customHeight="1">
      <c r="F218" s="98"/>
    </row>
    <row r="219" spans="6:6" ht="12" customHeight="1">
      <c r="F219" s="98"/>
    </row>
    <row r="220" spans="6:6" ht="12" customHeight="1">
      <c r="F220" s="98"/>
    </row>
    <row r="221" spans="6:6" ht="12" customHeight="1">
      <c r="F221" s="98"/>
    </row>
    <row r="222" spans="6:6" ht="12" customHeight="1">
      <c r="F222" s="98"/>
    </row>
    <row r="223" spans="6:6" ht="12" customHeight="1">
      <c r="F223" s="98"/>
    </row>
    <row r="224" spans="6:6" ht="12" customHeight="1">
      <c r="F224" s="98"/>
    </row>
    <row r="225" spans="6:6" ht="12" customHeight="1">
      <c r="F225" s="98"/>
    </row>
    <row r="226" spans="6:6" ht="12" customHeight="1">
      <c r="F226" s="98"/>
    </row>
    <row r="227" spans="6:6" ht="12" customHeight="1">
      <c r="F227" s="98"/>
    </row>
    <row r="228" spans="6:6" ht="12" customHeight="1">
      <c r="F228" s="98"/>
    </row>
    <row r="229" spans="6:6" ht="12" customHeight="1">
      <c r="F229" s="98"/>
    </row>
    <row r="230" spans="6:6" ht="12" customHeight="1">
      <c r="F230" s="98"/>
    </row>
    <row r="231" spans="6:6" ht="12" customHeight="1">
      <c r="F231" s="98"/>
    </row>
    <row r="232" spans="6:6" ht="12" customHeight="1">
      <c r="F232" s="98"/>
    </row>
    <row r="233" spans="6:6" ht="12" customHeight="1">
      <c r="F233" s="98"/>
    </row>
    <row r="234" spans="6:6" ht="12" customHeight="1"/>
    <row r="235" spans="6:6" ht="12" customHeight="1"/>
    <row r="236" spans="6:6" ht="12" customHeight="1"/>
    <row r="237" spans="6:6" ht="12" customHeight="1"/>
    <row r="238" spans="6:6" ht="12" customHeight="1"/>
    <row r="239" spans="6:6" ht="12" customHeight="1"/>
    <row r="240" spans="6:6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1504" ht="12" customHeight="1"/>
    <row r="1505" ht="12" customHeight="1"/>
    <row r="1506" ht="12" customHeight="1"/>
    <row r="1507" ht="12" customHeight="1"/>
    <row r="1508" ht="12" customHeight="1"/>
    <row r="1509" ht="12" customHeight="1"/>
    <row r="1510" ht="12" customHeight="1"/>
    <row r="1511" ht="12" customHeight="1"/>
    <row r="1512" ht="12" customHeight="1"/>
    <row r="1513" ht="12" customHeight="1"/>
    <row r="1514" ht="12" customHeight="1"/>
    <row r="1515" ht="12" customHeight="1"/>
    <row r="1516" ht="12" customHeight="1"/>
    <row r="1517" ht="12" customHeight="1"/>
    <row r="1518" ht="12" customHeight="1"/>
    <row r="1519" ht="12" customHeight="1"/>
    <row r="1520" ht="12" customHeight="1"/>
    <row r="1521" ht="12" customHeight="1"/>
    <row r="1522" ht="12" customHeight="1"/>
    <row r="1523" ht="12" customHeight="1"/>
    <row r="1524" ht="12" customHeight="1"/>
    <row r="1525" ht="12" customHeight="1"/>
    <row r="1526" ht="12" customHeight="1"/>
    <row r="1527" ht="12" customHeight="1"/>
    <row r="1528" ht="12" customHeight="1"/>
    <row r="1529" ht="12" customHeight="1"/>
    <row r="1530" ht="12" customHeight="1"/>
    <row r="1531" ht="12" customHeight="1"/>
    <row r="1532" ht="12" customHeight="1"/>
    <row r="1533" ht="12" customHeight="1"/>
    <row r="1534" ht="12" customHeight="1"/>
    <row r="1535" ht="12" customHeight="1"/>
    <row r="1536" ht="12" customHeight="1"/>
    <row r="1537" ht="12" customHeight="1"/>
    <row r="1538" ht="12" customHeight="1"/>
    <row r="1539" ht="12" customHeight="1"/>
    <row r="1540" ht="12" customHeight="1"/>
    <row r="1541" ht="12" customHeight="1"/>
    <row r="1542" ht="12" customHeight="1"/>
    <row r="1543" ht="12" customHeight="1"/>
    <row r="1544" ht="12" customHeight="1"/>
    <row r="1545" ht="12" customHeight="1"/>
    <row r="1546" ht="12" customHeight="1"/>
    <row r="1547" ht="12" customHeight="1"/>
    <row r="1548" ht="12" customHeight="1"/>
    <row r="1549" ht="12" customHeight="1"/>
    <row r="1550" ht="12" customHeight="1"/>
    <row r="1551" ht="12" customHeight="1"/>
    <row r="1552" ht="12" customHeight="1"/>
    <row r="1553" ht="12" customHeight="1"/>
    <row r="1554" ht="12" customHeight="1"/>
    <row r="1555" ht="12" customHeight="1"/>
    <row r="1556" ht="12" customHeight="1"/>
    <row r="1557" ht="12" customHeight="1"/>
    <row r="1558" ht="12" customHeight="1"/>
    <row r="1559" ht="12" customHeight="1"/>
    <row r="1560" ht="12" customHeight="1"/>
    <row r="1561" ht="12" customHeight="1"/>
    <row r="1562" ht="12" customHeight="1"/>
    <row r="1563" ht="12" customHeight="1"/>
    <row r="1564" ht="12" customHeight="1"/>
    <row r="1565" ht="12" customHeight="1"/>
    <row r="1566" ht="12" customHeight="1"/>
    <row r="1567" ht="12" customHeight="1"/>
    <row r="1568" ht="12" customHeight="1"/>
    <row r="1569" ht="12" customHeight="1"/>
    <row r="1570" ht="12" customHeight="1"/>
    <row r="1571" ht="12" customHeight="1"/>
    <row r="1572" ht="12" customHeight="1"/>
    <row r="1573" ht="12" customHeight="1"/>
    <row r="1574" ht="12" customHeight="1"/>
    <row r="1575" ht="12" customHeight="1"/>
    <row r="1576" ht="12" customHeight="1"/>
    <row r="1577" ht="12" customHeight="1"/>
    <row r="1578" ht="12" customHeight="1"/>
    <row r="1579" ht="12" customHeight="1"/>
    <row r="1580" ht="12" customHeight="1"/>
    <row r="1581" ht="12" customHeight="1"/>
    <row r="1582" ht="12" customHeight="1"/>
    <row r="1583" ht="12" customHeight="1"/>
    <row r="1584" ht="12" customHeight="1"/>
    <row r="1585" ht="12" customHeight="1"/>
    <row r="1586" ht="12" customHeight="1"/>
    <row r="1587" ht="12" customHeight="1"/>
    <row r="1588" ht="12" customHeight="1"/>
    <row r="1589" ht="12" customHeight="1"/>
    <row r="1590" ht="12" customHeight="1"/>
    <row r="1591" ht="12" customHeight="1"/>
    <row r="1592" ht="12" customHeight="1"/>
    <row r="1593" ht="12" customHeight="1"/>
    <row r="1594" ht="12" customHeight="1"/>
    <row r="1595" ht="12" customHeight="1"/>
    <row r="1596" ht="12" customHeight="1"/>
    <row r="1597" ht="12" customHeight="1"/>
    <row r="1598" ht="12" customHeight="1"/>
    <row r="1599" ht="12" customHeight="1"/>
    <row r="1600" ht="12" customHeight="1"/>
    <row r="1601" ht="12" customHeight="1"/>
    <row r="1602" ht="12" customHeight="1"/>
    <row r="1603" ht="12" customHeight="1"/>
    <row r="1604" ht="12" customHeight="1"/>
    <row r="1605" ht="12" customHeight="1"/>
    <row r="1606" ht="12" customHeight="1"/>
    <row r="1607" ht="12" customHeight="1"/>
    <row r="1608" ht="12" customHeight="1"/>
    <row r="1609" ht="12" customHeight="1"/>
    <row r="1610" ht="12" customHeight="1"/>
    <row r="1611" ht="12" customHeight="1"/>
    <row r="1612" ht="12" customHeight="1"/>
    <row r="1613" ht="12" customHeight="1"/>
    <row r="1614" ht="12" customHeight="1"/>
    <row r="1615" ht="12" customHeight="1"/>
    <row r="1616" ht="12" customHeight="1"/>
    <row r="1617" ht="12" customHeight="1"/>
    <row r="1618" ht="12" customHeight="1"/>
    <row r="1619" ht="12" customHeight="1"/>
    <row r="1620" ht="12" customHeight="1"/>
    <row r="1621" ht="12" customHeight="1"/>
    <row r="1622" ht="12" customHeight="1"/>
    <row r="1623" ht="12" customHeight="1"/>
    <row r="1624" ht="12" customHeight="1"/>
    <row r="1625" ht="12" customHeight="1"/>
    <row r="1626" ht="12" customHeight="1"/>
    <row r="1627" ht="12" customHeight="1"/>
    <row r="1628" ht="12" customHeight="1"/>
    <row r="1629" ht="12" customHeight="1"/>
    <row r="1630" ht="12" customHeight="1"/>
    <row r="1631" ht="12" customHeight="1"/>
    <row r="1632" ht="12" customHeight="1"/>
    <row r="1633" ht="12" customHeight="1"/>
    <row r="1634" ht="12" customHeight="1"/>
    <row r="1635" ht="12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12" customHeight="1"/>
    <row r="1643" ht="12" customHeight="1"/>
    <row r="1644" ht="12" customHeight="1"/>
    <row r="1645" ht="12" customHeight="1"/>
    <row r="1646" ht="12" customHeight="1"/>
    <row r="1647" ht="12" customHeight="1"/>
    <row r="1648" ht="12" customHeight="1"/>
    <row r="1649" ht="12" customHeight="1"/>
    <row r="1650" ht="12" customHeight="1"/>
    <row r="1651" ht="12" customHeight="1"/>
    <row r="1652" ht="12" customHeight="1"/>
    <row r="1653" ht="12" customHeight="1"/>
    <row r="1654" ht="12" customHeight="1"/>
    <row r="1655" ht="12" customHeight="1"/>
    <row r="1656" ht="12" customHeight="1"/>
    <row r="1657" ht="12" customHeight="1"/>
    <row r="1658" ht="12" customHeight="1"/>
    <row r="1659" ht="12" customHeight="1"/>
    <row r="1660" ht="12" customHeight="1"/>
    <row r="1661" ht="12" customHeight="1"/>
    <row r="1662" ht="12" customHeight="1"/>
    <row r="1663" ht="12" customHeight="1"/>
    <row r="1664" ht="12" customHeight="1"/>
    <row r="1665" ht="12" customHeight="1"/>
    <row r="1666" ht="12" customHeight="1"/>
    <row r="1667" ht="12" customHeight="1"/>
    <row r="1668" ht="12" customHeight="1"/>
    <row r="1669" ht="12" customHeight="1"/>
    <row r="1670" ht="12" customHeight="1"/>
    <row r="1671" ht="12" customHeight="1"/>
    <row r="1672" ht="12" customHeight="1"/>
    <row r="1673" ht="12" customHeight="1"/>
    <row r="1674" ht="12" customHeight="1"/>
    <row r="1675" ht="12" customHeight="1"/>
    <row r="1676" ht="12" customHeight="1"/>
    <row r="1677" ht="12" customHeight="1"/>
    <row r="1678" ht="12" customHeight="1"/>
    <row r="1679" ht="12" customHeight="1"/>
    <row r="1680" ht="12" customHeight="1"/>
    <row r="1681" ht="12" customHeight="1"/>
    <row r="1682" ht="12" customHeight="1"/>
    <row r="1683" ht="12" customHeight="1"/>
    <row r="1684" ht="12" customHeight="1"/>
    <row r="1685" ht="12" customHeight="1"/>
    <row r="1686" ht="12" customHeight="1"/>
    <row r="1687" ht="12" customHeight="1"/>
    <row r="1688" ht="12" customHeight="1"/>
    <row r="1689" ht="12" customHeight="1"/>
    <row r="1690" ht="12" customHeight="1"/>
    <row r="1691" ht="12" customHeight="1"/>
    <row r="1692" ht="12" customHeight="1"/>
    <row r="1693" ht="12" customHeight="1"/>
    <row r="1694" ht="12" customHeight="1"/>
    <row r="1695" ht="12" customHeight="1"/>
    <row r="1696" ht="12" customHeight="1"/>
    <row r="1697" ht="12" customHeight="1"/>
    <row r="1698" ht="12" customHeight="1"/>
    <row r="1699" ht="12" customHeight="1"/>
    <row r="1700" ht="12" customHeight="1"/>
    <row r="1701" ht="12" customHeight="1"/>
    <row r="1702" ht="12" customHeight="1"/>
    <row r="1703" ht="12" customHeight="1"/>
    <row r="1704" ht="12" customHeight="1"/>
    <row r="1705" ht="12" customHeight="1"/>
    <row r="1706" ht="12" customHeight="1"/>
    <row r="1707" ht="12" customHeight="1"/>
    <row r="1708" ht="12" customHeight="1"/>
    <row r="1709" ht="12" customHeight="1"/>
    <row r="1710" ht="12" customHeight="1"/>
    <row r="1711" ht="12" customHeight="1"/>
    <row r="1712" ht="12" customHeight="1"/>
    <row r="1713" ht="12" customHeight="1"/>
    <row r="1714" ht="12" customHeight="1"/>
    <row r="1715" ht="12" customHeight="1"/>
    <row r="1716" ht="12" customHeight="1"/>
    <row r="1717" ht="12" customHeight="1"/>
    <row r="1718" ht="12" customHeight="1"/>
    <row r="1719" ht="12" customHeight="1"/>
    <row r="1720" ht="12" customHeight="1"/>
    <row r="1721" ht="12" customHeight="1"/>
    <row r="1722" ht="12" customHeight="1"/>
    <row r="1723" ht="12" customHeight="1"/>
    <row r="1724" ht="12" customHeight="1"/>
    <row r="1725" ht="12" customHeight="1"/>
    <row r="1726" ht="12" customHeight="1"/>
    <row r="1727" ht="12" customHeight="1"/>
    <row r="1728" ht="12" customHeight="1"/>
    <row r="1729" ht="12" customHeight="1"/>
    <row r="1730" ht="12" customHeight="1"/>
    <row r="1731" ht="12" customHeight="1"/>
    <row r="1732" ht="12" customHeight="1"/>
    <row r="1733" ht="12" customHeight="1"/>
    <row r="1734" ht="12" customHeight="1"/>
    <row r="1735" ht="12" customHeight="1"/>
    <row r="1736" ht="12" customHeight="1"/>
    <row r="1737" ht="12" customHeight="1"/>
    <row r="1738" ht="12" customHeight="1"/>
    <row r="1739" ht="12" customHeight="1"/>
    <row r="1740" ht="12" customHeight="1"/>
    <row r="1741" ht="12" customHeight="1"/>
    <row r="1742" ht="12" customHeight="1"/>
    <row r="1743" ht="12" customHeight="1"/>
    <row r="1744" ht="12" customHeight="1"/>
    <row r="1745" ht="12" customHeight="1"/>
    <row r="1746" ht="12" customHeight="1"/>
    <row r="1747" ht="12" customHeight="1"/>
    <row r="1748" ht="12" customHeight="1"/>
    <row r="1749" ht="12" customHeight="1"/>
    <row r="1750" ht="12" customHeight="1"/>
    <row r="1751" ht="12" customHeight="1"/>
    <row r="1752" ht="12" customHeight="1"/>
    <row r="1753" ht="12" customHeight="1"/>
    <row r="1754" ht="12" customHeight="1"/>
    <row r="1755" ht="12" customHeight="1"/>
    <row r="1756" ht="12" customHeight="1"/>
    <row r="1757" ht="12" customHeight="1"/>
    <row r="1758" ht="12" customHeight="1"/>
    <row r="1759" ht="12" customHeight="1"/>
    <row r="1760" ht="12" customHeight="1"/>
    <row r="1761" ht="12" customHeight="1"/>
    <row r="1762" ht="12" customHeight="1"/>
    <row r="1763" ht="12" customHeight="1"/>
    <row r="1764" ht="12" customHeight="1"/>
    <row r="1765" ht="12" customHeight="1"/>
    <row r="1766" ht="12" customHeight="1"/>
    <row r="1767" ht="12" customHeight="1"/>
    <row r="1768" ht="12" customHeight="1"/>
    <row r="1769" ht="12" customHeight="1"/>
    <row r="1770" ht="12" customHeight="1"/>
    <row r="1771" ht="12" customHeight="1"/>
    <row r="1772" ht="12" customHeight="1"/>
    <row r="1773" ht="12" customHeight="1"/>
    <row r="1774" ht="12" customHeight="1"/>
    <row r="1775" ht="12" customHeight="1"/>
    <row r="1776" ht="12" customHeight="1"/>
    <row r="1777" ht="12" customHeight="1"/>
    <row r="1778" ht="12" customHeight="1"/>
    <row r="1779" ht="12" customHeight="1"/>
    <row r="1780" ht="12" customHeight="1"/>
    <row r="1781" ht="12" customHeight="1"/>
    <row r="1782" ht="12" customHeight="1"/>
    <row r="1783" ht="12" customHeight="1"/>
    <row r="1784" ht="12" customHeight="1"/>
    <row r="1785" ht="12" customHeight="1"/>
    <row r="1786" ht="12" customHeight="1"/>
    <row r="1787" ht="12" customHeight="1"/>
    <row r="1788" ht="12" customHeight="1"/>
    <row r="1789" ht="12" customHeight="1"/>
    <row r="1790" ht="12" customHeight="1"/>
    <row r="1791" ht="12" customHeight="1"/>
    <row r="1792" ht="12" customHeight="1"/>
    <row r="1793" ht="12" customHeight="1"/>
    <row r="1794" ht="12" customHeight="1"/>
    <row r="1795" ht="12" customHeight="1"/>
    <row r="1796" ht="12" customHeight="1"/>
    <row r="1797" ht="12" customHeight="1"/>
    <row r="1798" ht="12" customHeight="1"/>
    <row r="1799" ht="12" customHeight="1"/>
    <row r="1800" ht="12" customHeight="1"/>
    <row r="1801" ht="12" customHeight="1"/>
    <row r="1802" ht="12" customHeight="1"/>
    <row r="1803" ht="12" customHeight="1"/>
    <row r="1804" ht="12" customHeight="1"/>
    <row r="1805" ht="12" customHeight="1"/>
    <row r="1806" ht="12" customHeight="1"/>
    <row r="1807" ht="12" customHeight="1"/>
    <row r="1808" ht="12" customHeight="1"/>
    <row r="1809" ht="12" customHeight="1"/>
    <row r="1810" ht="12" customHeight="1"/>
    <row r="1811" ht="12" customHeight="1"/>
    <row r="1812" ht="12" customHeight="1"/>
    <row r="1813" ht="12" customHeight="1"/>
    <row r="1814" ht="12" customHeight="1"/>
    <row r="1815" ht="12" customHeight="1"/>
    <row r="1816" ht="12" customHeight="1"/>
    <row r="1817" ht="12" customHeight="1"/>
    <row r="1818" ht="12" customHeight="1"/>
    <row r="1819" ht="12" customHeight="1"/>
    <row r="1820" ht="12" customHeight="1"/>
    <row r="1821" ht="12" customHeight="1"/>
    <row r="1822" ht="12" customHeight="1"/>
    <row r="1823" ht="12" customHeight="1"/>
    <row r="1824" ht="12" customHeight="1"/>
    <row r="1825" ht="12" customHeight="1"/>
    <row r="1826" ht="12" customHeight="1"/>
    <row r="1827" ht="12" customHeight="1"/>
    <row r="1828" ht="12" customHeight="1"/>
    <row r="1829" ht="12" customHeight="1"/>
    <row r="1830" ht="12" customHeight="1"/>
    <row r="1831" ht="12" customHeight="1"/>
    <row r="1832" ht="12" customHeight="1"/>
    <row r="1833" ht="12" customHeight="1"/>
    <row r="1834" ht="12" customHeight="1"/>
    <row r="1835" ht="12" customHeight="1"/>
    <row r="1836" ht="12" customHeight="1"/>
    <row r="1837" ht="12" customHeight="1"/>
    <row r="1838" ht="12" customHeight="1"/>
    <row r="1839" ht="12" customHeight="1"/>
    <row r="1840" ht="12" customHeight="1"/>
    <row r="1841" ht="12" customHeight="1"/>
    <row r="1842" ht="12" customHeight="1"/>
    <row r="1843" ht="12" customHeight="1"/>
    <row r="1844" ht="12" customHeight="1"/>
    <row r="1845" ht="12" customHeight="1"/>
    <row r="1846" ht="12" customHeight="1"/>
    <row r="1847" ht="12" customHeight="1"/>
    <row r="1848" ht="12" customHeight="1"/>
    <row r="1849" ht="12" customHeight="1"/>
    <row r="1850" ht="12" customHeight="1"/>
    <row r="1851" ht="12" customHeight="1"/>
    <row r="1852" ht="12" customHeight="1"/>
    <row r="1853" ht="12" customHeight="1"/>
    <row r="1854" ht="12" customHeight="1"/>
    <row r="1855" ht="12" customHeight="1"/>
    <row r="1856" ht="12" customHeight="1"/>
    <row r="1857" ht="12" customHeight="1"/>
    <row r="1858" ht="12" customHeight="1"/>
    <row r="1859" ht="12" customHeight="1"/>
    <row r="1860" ht="12" customHeight="1"/>
    <row r="1861" ht="12" customHeight="1"/>
    <row r="1862" ht="12" customHeight="1"/>
    <row r="1863" ht="12" customHeight="1"/>
    <row r="1864" ht="12" customHeight="1"/>
    <row r="1865" ht="12" customHeight="1"/>
    <row r="1866" ht="12" customHeight="1"/>
    <row r="1867" ht="12" customHeight="1"/>
    <row r="1868" ht="12" customHeight="1"/>
    <row r="1869" ht="12" customHeight="1"/>
    <row r="1870" ht="12" customHeight="1"/>
    <row r="1871" ht="12" customHeight="1"/>
    <row r="1872" ht="12" customHeight="1"/>
    <row r="1873" ht="12" customHeight="1"/>
    <row r="1874" ht="12" customHeight="1"/>
    <row r="1875" ht="12" customHeight="1"/>
    <row r="1876" ht="12" customHeight="1"/>
    <row r="1877" ht="12" customHeight="1"/>
    <row r="1878" ht="12" customHeight="1"/>
    <row r="1879" ht="12" customHeight="1"/>
    <row r="1880" ht="12" customHeight="1"/>
    <row r="1881" ht="12" customHeight="1"/>
    <row r="1882" ht="12" customHeight="1"/>
    <row r="1883" ht="12" customHeight="1"/>
    <row r="1884" ht="12" customHeight="1"/>
    <row r="1885" ht="12" customHeight="1"/>
    <row r="1886" ht="12" customHeight="1"/>
    <row r="1887" ht="12" customHeight="1"/>
    <row r="1888" ht="12" customHeight="1"/>
    <row r="1889" ht="12" customHeight="1"/>
    <row r="1890" ht="12" customHeight="1"/>
    <row r="1891" ht="12" customHeight="1"/>
    <row r="1892" ht="12" customHeight="1"/>
    <row r="1893" ht="12" customHeight="1"/>
    <row r="1894" ht="12" customHeight="1"/>
    <row r="1895" ht="12" customHeight="1"/>
    <row r="1896" ht="12" customHeight="1"/>
    <row r="1897" ht="12" customHeight="1"/>
    <row r="1898" ht="12" customHeight="1"/>
    <row r="1899" ht="12" customHeight="1"/>
    <row r="1900" ht="12" customHeight="1"/>
    <row r="1901" ht="12" customHeight="1"/>
    <row r="1902" ht="12" customHeight="1"/>
    <row r="1903" ht="12" customHeight="1"/>
    <row r="1904" ht="12" customHeight="1"/>
    <row r="1905" ht="12" customHeight="1"/>
    <row r="1906" ht="12" customHeight="1"/>
    <row r="1907" ht="12" customHeight="1"/>
    <row r="1908" ht="12" customHeight="1"/>
    <row r="1909" ht="12" customHeight="1"/>
    <row r="1910" ht="12" customHeight="1"/>
    <row r="1911" ht="12" customHeight="1"/>
    <row r="1912" ht="12" customHeight="1"/>
    <row r="1913" ht="12" customHeight="1"/>
    <row r="1914" ht="12" customHeight="1"/>
    <row r="1915" ht="12" customHeight="1"/>
    <row r="1916" ht="12" customHeight="1"/>
    <row r="1917" ht="12" customHeight="1"/>
    <row r="1918" ht="12" customHeight="1"/>
    <row r="1919" ht="12" customHeight="1"/>
    <row r="1920" ht="12" customHeight="1"/>
    <row r="1921" ht="12" customHeight="1"/>
    <row r="1922" ht="12" customHeight="1"/>
    <row r="1923" ht="12" customHeight="1"/>
    <row r="1924" ht="12" customHeight="1"/>
    <row r="1925" ht="12" customHeight="1"/>
    <row r="1926" ht="12" customHeight="1"/>
    <row r="1927" ht="12" customHeight="1"/>
    <row r="1928" ht="12" customHeight="1"/>
    <row r="1929" ht="12" customHeight="1"/>
    <row r="1930" ht="12" customHeight="1"/>
    <row r="1931" ht="12" customHeight="1"/>
    <row r="1932" ht="12" customHeight="1"/>
    <row r="1933" ht="12" customHeight="1"/>
    <row r="1934" ht="12" customHeight="1"/>
    <row r="1935" ht="12" customHeight="1"/>
    <row r="1936" ht="12" customHeight="1"/>
    <row r="1937" ht="12" customHeight="1"/>
    <row r="1938" ht="12" customHeight="1"/>
    <row r="1939" ht="12" customHeight="1"/>
    <row r="1940" ht="12" customHeight="1"/>
    <row r="1941" ht="12" customHeight="1"/>
    <row r="1942" ht="12" customHeight="1"/>
    <row r="1943" ht="12" customHeight="1"/>
    <row r="1944" ht="12" customHeight="1"/>
    <row r="1945" ht="12" customHeight="1"/>
    <row r="1946" ht="12" customHeight="1"/>
    <row r="1947" ht="12" customHeight="1"/>
    <row r="1948" ht="12" customHeight="1"/>
    <row r="1949" ht="12" customHeight="1"/>
    <row r="1950" ht="12" customHeight="1"/>
    <row r="1951" ht="12" customHeight="1"/>
    <row r="1952" ht="12" customHeight="1"/>
    <row r="1953" ht="12" customHeight="1"/>
    <row r="1954" ht="12" customHeight="1"/>
    <row r="1955" ht="12" customHeight="1"/>
    <row r="1956" ht="12" customHeight="1"/>
    <row r="1957" ht="12" customHeight="1"/>
    <row r="1958" ht="12" customHeight="1"/>
    <row r="1959" ht="12" customHeight="1"/>
    <row r="1960" ht="12" customHeight="1"/>
    <row r="1961" ht="12" customHeight="1"/>
    <row r="1962" ht="12" customHeight="1"/>
    <row r="1963" ht="12" customHeight="1"/>
    <row r="1964" ht="12" customHeight="1"/>
    <row r="1965" ht="12" customHeight="1"/>
    <row r="1966" ht="12" customHeight="1"/>
    <row r="1967" ht="12" customHeight="1"/>
    <row r="1968" ht="12" customHeight="1"/>
    <row r="1969" ht="12" customHeight="1"/>
    <row r="1970" ht="12" customHeight="1"/>
    <row r="1971" ht="12" customHeight="1"/>
    <row r="1972" ht="12" customHeight="1"/>
    <row r="1973" ht="12" customHeight="1"/>
    <row r="1974" ht="12" customHeight="1"/>
    <row r="1975" ht="12" customHeight="1"/>
    <row r="1976" ht="12" customHeight="1"/>
    <row r="1977" ht="12" customHeight="1"/>
    <row r="1978" ht="12" customHeight="1"/>
    <row r="1979" ht="12" customHeight="1"/>
    <row r="1980" ht="12" customHeight="1"/>
    <row r="1981" ht="12" customHeight="1"/>
    <row r="1982" ht="12" customHeight="1"/>
    <row r="1983" ht="12" customHeight="1"/>
    <row r="1984" ht="12" customHeight="1"/>
    <row r="1985" ht="12" customHeight="1"/>
    <row r="1986" ht="12" customHeight="1"/>
    <row r="1987" ht="12" customHeight="1"/>
    <row r="1988" ht="12" customHeight="1"/>
    <row r="1989" ht="12" customHeight="1"/>
    <row r="1990" ht="12" customHeight="1"/>
    <row r="1991" ht="12" customHeight="1"/>
    <row r="1992" ht="12" customHeight="1"/>
    <row r="1993" ht="12" customHeight="1"/>
    <row r="1994" ht="12" customHeight="1"/>
    <row r="1995" ht="12" customHeight="1"/>
    <row r="1996" ht="12" customHeight="1"/>
    <row r="1997" ht="12" customHeight="1"/>
    <row r="1998" ht="12" customHeight="1"/>
    <row r="1999" ht="12" customHeight="1"/>
    <row r="2000" ht="12" customHeight="1"/>
    <row r="2001" ht="12" customHeight="1"/>
    <row r="2002" ht="12" customHeight="1"/>
    <row r="2003" ht="12" customHeight="1"/>
    <row r="2004" ht="12" customHeight="1"/>
    <row r="2005" ht="12" customHeight="1"/>
    <row r="2006" ht="12" customHeight="1"/>
    <row r="2007" ht="12" customHeight="1"/>
    <row r="2008" ht="12" customHeight="1"/>
    <row r="2009" ht="12" customHeight="1"/>
    <row r="2010" ht="12" customHeight="1"/>
    <row r="2011" ht="12" customHeight="1"/>
    <row r="2012" ht="12" customHeight="1"/>
    <row r="2013" ht="12" customHeight="1"/>
    <row r="2014" ht="12" customHeight="1"/>
    <row r="2015" ht="12" customHeight="1"/>
    <row r="2016" ht="12" customHeight="1"/>
    <row r="2017" ht="12" customHeight="1"/>
    <row r="2018" ht="12" customHeight="1"/>
    <row r="2019" ht="12" customHeight="1"/>
    <row r="2020" ht="12" customHeight="1"/>
    <row r="2021" ht="12" customHeight="1"/>
    <row r="2022" ht="12" customHeight="1"/>
    <row r="2023" ht="12" customHeight="1"/>
    <row r="2024" ht="12" customHeight="1"/>
    <row r="2025" ht="12" customHeight="1"/>
    <row r="2026" ht="12" customHeight="1"/>
    <row r="2027" ht="12" customHeight="1"/>
    <row r="2028" ht="12" customHeight="1"/>
    <row r="2029" ht="12" customHeight="1"/>
    <row r="2030" ht="12" customHeight="1"/>
    <row r="2031" ht="12" customHeight="1"/>
    <row r="2032" ht="12" customHeight="1"/>
    <row r="2033" ht="12" customHeight="1"/>
    <row r="2034" ht="12" customHeight="1"/>
    <row r="2035" ht="12" customHeight="1"/>
    <row r="2036" ht="12" customHeight="1"/>
    <row r="2037" ht="12" customHeight="1"/>
    <row r="2038" ht="12" customHeight="1"/>
    <row r="2039" ht="12" customHeight="1"/>
    <row r="2040" ht="12" customHeight="1"/>
    <row r="2041" ht="12" customHeight="1"/>
    <row r="2042" ht="12" customHeight="1"/>
    <row r="2043" ht="12" customHeight="1"/>
    <row r="2044" ht="12" customHeight="1"/>
    <row r="2045" ht="12" customHeight="1"/>
    <row r="2046" ht="12" customHeight="1"/>
    <row r="2047" ht="12" customHeight="1"/>
    <row r="2048" ht="12" customHeight="1"/>
    <row r="2049" ht="12" customHeight="1"/>
    <row r="2050" ht="12" customHeight="1"/>
    <row r="2051" ht="12" customHeight="1"/>
    <row r="2052" ht="12" customHeight="1"/>
    <row r="2053" ht="12" customHeight="1"/>
    <row r="2054" ht="12" customHeight="1"/>
    <row r="2055" ht="12" customHeight="1"/>
    <row r="2056" ht="12" customHeight="1"/>
    <row r="2057" ht="12" customHeight="1"/>
    <row r="2058" ht="12" customHeight="1"/>
    <row r="2059" ht="12" customHeight="1"/>
    <row r="2060" ht="12" customHeight="1"/>
    <row r="2061" ht="12" customHeight="1"/>
    <row r="2062" ht="12" customHeight="1"/>
    <row r="2063" ht="12" customHeight="1"/>
    <row r="2064" ht="12" customHeight="1"/>
    <row r="2065" ht="12" customHeight="1"/>
    <row r="2066" ht="12" customHeight="1"/>
    <row r="2067" ht="12" customHeight="1"/>
    <row r="2068" ht="12" customHeight="1"/>
    <row r="2069" ht="12" customHeight="1"/>
    <row r="2070" ht="12" customHeight="1"/>
    <row r="2071" ht="12" customHeight="1"/>
    <row r="2072" ht="12" customHeight="1"/>
    <row r="2073" ht="12" customHeight="1"/>
    <row r="2074" ht="12" customHeight="1"/>
    <row r="2075" ht="12" customHeight="1"/>
    <row r="2076" ht="12" customHeight="1"/>
    <row r="2077" ht="12" customHeight="1"/>
    <row r="2078" ht="12" customHeight="1"/>
    <row r="2079" ht="12" customHeight="1"/>
    <row r="2080" ht="12" customHeight="1"/>
    <row r="2081" ht="12" customHeight="1"/>
    <row r="2082" ht="12" customHeight="1"/>
    <row r="2083" ht="12" customHeight="1"/>
    <row r="2084" ht="12" customHeight="1"/>
    <row r="2085" ht="12" customHeight="1"/>
    <row r="2086" ht="12" customHeight="1"/>
    <row r="2087" ht="12" customHeight="1"/>
    <row r="2088" ht="12" customHeight="1"/>
    <row r="2089" ht="12" customHeight="1"/>
    <row r="2090" ht="12" customHeight="1"/>
    <row r="2091" ht="12" customHeight="1"/>
    <row r="2092" ht="12" customHeight="1"/>
    <row r="2093" ht="12" customHeight="1"/>
    <row r="2094" ht="12" customHeight="1"/>
    <row r="2095" ht="12" customHeight="1"/>
    <row r="2096" ht="12" customHeight="1"/>
    <row r="2097" ht="12" customHeight="1"/>
    <row r="2098" ht="12" customHeight="1"/>
    <row r="2099" ht="12" customHeight="1"/>
    <row r="2100" ht="12" customHeight="1"/>
    <row r="2101" ht="12" customHeight="1"/>
    <row r="2102" ht="12" customHeight="1"/>
    <row r="2103" ht="12" customHeight="1"/>
    <row r="2104" ht="12" customHeight="1"/>
    <row r="2105" ht="12" customHeight="1"/>
    <row r="2106" ht="12" customHeight="1"/>
    <row r="2107" ht="12" customHeight="1"/>
    <row r="2108" ht="12" customHeight="1"/>
    <row r="2109" ht="12" customHeight="1"/>
    <row r="2110" ht="12" customHeight="1"/>
    <row r="2111" ht="12" customHeight="1"/>
    <row r="2112" ht="12" customHeight="1"/>
    <row r="2113" ht="12" customHeight="1"/>
    <row r="2114" ht="12" customHeight="1"/>
    <row r="2115" ht="12" customHeight="1"/>
    <row r="2116" ht="12" customHeight="1"/>
    <row r="2117" ht="12" customHeight="1"/>
    <row r="2118" ht="12" customHeight="1"/>
    <row r="2119" ht="12" customHeight="1"/>
    <row r="2120" ht="12" customHeight="1"/>
    <row r="2121" ht="12" customHeight="1"/>
    <row r="2122" ht="12" customHeight="1"/>
    <row r="2123" ht="12" customHeight="1"/>
    <row r="2124" ht="12" customHeight="1"/>
    <row r="2125" ht="12" customHeight="1"/>
    <row r="2126" ht="12" customHeight="1"/>
    <row r="2127" ht="12" customHeight="1"/>
    <row r="2128" ht="12" customHeight="1"/>
    <row r="2129" ht="12" customHeight="1"/>
    <row r="2130" ht="12" customHeight="1"/>
    <row r="2131" ht="12" customHeight="1"/>
    <row r="2132" ht="12" customHeight="1"/>
    <row r="2133" ht="12" customHeight="1"/>
    <row r="2134" ht="12" customHeight="1"/>
    <row r="2135" ht="12" customHeight="1"/>
    <row r="2136" ht="12" customHeight="1"/>
    <row r="2137" ht="12" customHeight="1"/>
    <row r="2138" ht="12" customHeight="1"/>
    <row r="2139" ht="12" customHeight="1"/>
    <row r="2140" ht="12" customHeight="1"/>
    <row r="2141" ht="12" customHeight="1"/>
    <row r="2142" ht="12" customHeight="1"/>
    <row r="2143" ht="12" customHeight="1"/>
    <row r="2144" ht="12" customHeight="1"/>
    <row r="2145" ht="12" customHeight="1"/>
    <row r="2146" ht="12" customHeight="1"/>
    <row r="2147" ht="12" customHeight="1"/>
    <row r="2148" ht="12" customHeight="1"/>
    <row r="2149" ht="12" customHeight="1"/>
    <row r="2150" ht="12" customHeight="1"/>
    <row r="2151" ht="12" customHeight="1"/>
    <row r="2152" ht="12" customHeight="1"/>
    <row r="2153" ht="12" customHeight="1"/>
    <row r="2154" ht="12" customHeight="1"/>
    <row r="2155" ht="12" customHeight="1"/>
    <row r="2156" ht="12" customHeight="1"/>
    <row r="2157" ht="12" customHeight="1"/>
    <row r="2158" ht="12" customHeight="1"/>
    <row r="2159" ht="12" customHeight="1"/>
    <row r="2160" ht="12" customHeight="1"/>
    <row r="2161" ht="12" customHeight="1"/>
    <row r="2162" ht="12" customHeight="1"/>
    <row r="2163" ht="12" customHeight="1"/>
    <row r="2164" ht="12" customHeight="1"/>
    <row r="2165" ht="12" customHeight="1"/>
    <row r="2166" ht="12" customHeight="1"/>
    <row r="2167" ht="12" customHeight="1"/>
    <row r="2168" ht="12" customHeight="1"/>
    <row r="2169" ht="12" customHeight="1"/>
    <row r="2170" ht="12" customHeight="1"/>
    <row r="2171" ht="12" customHeight="1"/>
    <row r="2172" ht="12" customHeight="1"/>
    <row r="2173" ht="12" customHeight="1"/>
    <row r="2174" ht="12" customHeight="1"/>
    <row r="2175" ht="12" customHeight="1"/>
    <row r="2176" ht="12" customHeight="1"/>
    <row r="2177" ht="12" customHeight="1"/>
    <row r="2178" ht="12" customHeight="1"/>
    <row r="2179" ht="12" customHeight="1"/>
    <row r="2180" ht="12" customHeight="1"/>
    <row r="2181" ht="12" customHeight="1"/>
    <row r="2182" ht="12" customHeight="1"/>
    <row r="2183" ht="12" customHeight="1"/>
    <row r="2184" ht="12" customHeight="1"/>
    <row r="2185" ht="12" customHeight="1"/>
    <row r="2186" ht="12" customHeight="1"/>
    <row r="2187" ht="12" customHeight="1"/>
    <row r="2188" ht="12" customHeight="1"/>
    <row r="2189" ht="12" customHeight="1"/>
    <row r="2190" ht="12" customHeight="1"/>
    <row r="2191" ht="12" customHeight="1"/>
    <row r="2192" ht="12" customHeight="1"/>
    <row r="2193" ht="12" customHeight="1"/>
    <row r="2194" ht="12" customHeight="1"/>
    <row r="2195" ht="12" customHeight="1"/>
    <row r="2196" ht="12" customHeight="1"/>
    <row r="2197" ht="12" customHeight="1"/>
    <row r="2198" ht="12" customHeight="1"/>
    <row r="2199" ht="12" customHeight="1"/>
    <row r="2200" ht="12" customHeight="1"/>
    <row r="2201" ht="12" customHeight="1"/>
    <row r="2202" ht="12" customHeight="1"/>
    <row r="2203" ht="12" customHeight="1"/>
    <row r="2204" ht="12" customHeight="1"/>
    <row r="2205" ht="12" customHeight="1"/>
    <row r="2206" ht="12" customHeight="1"/>
    <row r="2207" ht="12" customHeight="1"/>
    <row r="2208" ht="12" customHeight="1"/>
    <row r="2209" ht="12" customHeight="1"/>
    <row r="2210" ht="12" customHeight="1"/>
    <row r="2211" ht="12" customHeight="1"/>
    <row r="2212" ht="12" customHeight="1"/>
    <row r="2213" ht="12" customHeight="1"/>
    <row r="2214" ht="12" customHeight="1"/>
    <row r="2215" ht="12" customHeight="1"/>
    <row r="2216" ht="12" customHeight="1"/>
    <row r="2217" ht="12" customHeight="1"/>
    <row r="2218" ht="12" customHeight="1"/>
    <row r="2219" ht="12" customHeight="1"/>
    <row r="2220" ht="12" customHeight="1"/>
    <row r="2221" ht="12" customHeight="1"/>
    <row r="2222" ht="12" customHeight="1"/>
    <row r="2223" ht="12" customHeight="1"/>
    <row r="2224" ht="12" customHeight="1"/>
    <row r="2225" ht="12" customHeight="1"/>
    <row r="2226" ht="12" customHeight="1"/>
    <row r="2227" ht="12" customHeight="1"/>
    <row r="2228" ht="12" customHeight="1"/>
    <row r="2229" ht="12" customHeight="1"/>
    <row r="2230" ht="12" customHeight="1"/>
    <row r="2231" ht="12" customHeight="1"/>
    <row r="2232" ht="12" customHeight="1"/>
    <row r="2233" ht="12" customHeight="1"/>
    <row r="2234" ht="12" customHeight="1"/>
    <row r="2235" ht="12" customHeight="1"/>
    <row r="2236" ht="12" customHeight="1"/>
    <row r="2237" ht="12" customHeight="1"/>
    <row r="2238" ht="12" customHeight="1"/>
    <row r="2239" ht="12" customHeight="1"/>
    <row r="2240" ht="12" customHeight="1"/>
    <row r="2241" ht="12" customHeight="1"/>
    <row r="2242" ht="12" customHeight="1"/>
    <row r="2243" ht="12" customHeight="1"/>
    <row r="2244" ht="12" customHeight="1"/>
    <row r="2245" ht="12" customHeight="1"/>
    <row r="2246" ht="12" customHeight="1"/>
    <row r="2247" ht="12" customHeight="1"/>
    <row r="2248" ht="12" customHeight="1"/>
    <row r="2249" ht="12" customHeight="1"/>
    <row r="2250" ht="12" customHeight="1"/>
    <row r="2251" ht="12" customHeight="1"/>
    <row r="2252" ht="12" customHeight="1"/>
    <row r="2253" ht="12" customHeight="1"/>
    <row r="2254" ht="12" customHeight="1"/>
    <row r="2255" ht="12" customHeight="1"/>
    <row r="2256" ht="12" customHeight="1"/>
    <row r="2257" ht="12" customHeight="1"/>
    <row r="2258" ht="12" customHeight="1"/>
    <row r="2259" ht="12" customHeight="1"/>
    <row r="2260" ht="12" customHeight="1"/>
    <row r="2261" ht="12" customHeight="1"/>
    <row r="2262" ht="12" customHeight="1"/>
    <row r="2263" ht="12" customHeight="1"/>
    <row r="2264" ht="12" customHeight="1"/>
    <row r="2265" ht="12" customHeight="1"/>
    <row r="2266" ht="12" customHeight="1"/>
    <row r="2267" ht="12" customHeight="1"/>
    <row r="2268" ht="12" customHeight="1"/>
    <row r="2269" ht="12" customHeight="1"/>
    <row r="2270" ht="12" customHeight="1"/>
    <row r="2271" ht="12" customHeight="1"/>
    <row r="2272" ht="12" customHeight="1"/>
    <row r="2273" ht="12" customHeight="1"/>
    <row r="2274" ht="12" customHeight="1"/>
    <row r="2275" ht="12" customHeight="1"/>
    <row r="2276" ht="12" customHeight="1"/>
    <row r="2277" ht="12" customHeight="1"/>
    <row r="2278" ht="12" customHeight="1"/>
    <row r="2279" ht="12" customHeight="1"/>
    <row r="2280" ht="12" customHeight="1"/>
    <row r="2281" ht="12" customHeight="1"/>
    <row r="2282" ht="12" customHeight="1"/>
    <row r="2283" ht="12" customHeight="1"/>
    <row r="2284" ht="12" customHeight="1"/>
    <row r="2285" ht="12" customHeight="1"/>
    <row r="2286" ht="12" customHeight="1"/>
    <row r="2287" ht="12" customHeight="1"/>
    <row r="2288" ht="12" customHeight="1"/>
    <row r="2289" ht="12" customHeight="1"/>
    <row r="2290" ht="12" customHeight="1"/>
    <row r="2291" ht="12" customHeight="1"/>
    <row r="2292" ht="12" customHeight="1"/>
    <row r="2293" ht="12" customHeight="1"/>
    <row r="2294" ht="12" customHeight="1"/>
    <row r="2295" ht="12" customHeight="1"/>
    <row r="2296" ht="12" customHeight="1"/>
    <row r="2297" ht="12" customHeight="1"/>
    <row r="2298" ht="12" customHeight="1"/>
    <row r="2299" ht="12" customHeight="1"/>
    <row r="2300" ht="12" customHeight="1"/>
    <row r="2301" ht="12" customHeight="1"/>
    <row r="2302" ht="12" customHeight="1"/>
    <row r="2303" ht="12" customHeight="1"/>
    <row r="2304" ht="12" customHeight="1"/>
    <row r="2305" ht="12" customHeight="1"/>
    <row r="2306" ht="12" customHeight="1"/>
    <row r="2307" ht="12" customHeight="1"/>
    <row r="2308" ht="12" customHeight="1"/>
    <row r="2309" ht="12" customHeight="1"/>
    <row r="2310" ht="12" customHeight="1"/>
    <row r="2311" ht="12" customHeight="1"/>
    <row r="2312" ht="12" customHeight="1"/>
    <row r="2313" ht="12" customHeight="1"/>
    <row r="2314" ht="12" customHeight="1"/>
    <row r="2315" ht="12" customHeight="1"/>
    <row r="2316" ht="12" customHeight="1"/>
    <row r="2317" ht="12" customHeight="1"/>
    <row r="2318" ht="12" customHeight="1"/>
    <row r="2319" ht="12" customHeight="1"/>
    <row r="2320" ht="12" customHeight="1"/>
    <row r="2321" ht="12" customHeight="1"/>
    <row r="2322" ht="12" customHeight="1"/>
    <row r="2323" ht="12" customHeight="1"/>
    <row r="2324" ht="12" customHeight="1"/>
    <row r="2325" ht="12" customHeight="1"/>
    <row r="2326" ht="12" customHeight="1"/>
    <row r="2327" ht="12" customHeight="1"/>
    <row r="2328" ht="12" customHeight="1"/>
    <row r="2329" ht="12" customHeight="1"/>
    <row r="2330" ht="12" customHeight="1"/>
    <row r="2331" ht="12" customHeight="1"/>
    <row r="2332" ht="12" customHeight="1"/>
    <row r="2333" ht="12" customHeight="1"/>
    <row r="2334" ht="12" customHeight="1"/>
    <row r="2335" ht="12" customHeight="1"/>
    <row r="2336" ht="12" customHeight="1"/>
    <row r="2337" ht="12" customHeight="1"/>
    <row r="2338" ht="12" customHeight="1"/>
    <row r="2339" ht="12" customHeight="1"/>
    <row r="2340" ht="12" customHeight="1"/>
    <row r="2341" ht="12" customHeight="1"/>
    <row r="2342" ht="12" customHeight="1"/>
    <row r="2343" ht="12" customHeight="1"/>
    <row r="2344" ht="12" customHeight="1"/>
    <row r="2345" ht="12" customHeight="1"/>
    <row r="2346" ht="12" customHeight="1"/>
    <row r="2347" ht="12" customHeight="1"/>
    <row r="2348" ht="12" customHeight="1"/>
    <row r="2349" ht="12" customHeight="1"/>
    <row r="2350" ht="12" customHeight="1"/>
    <row r="2351" ht="12" customHeight="1"/>
    <row r="2352" ht="12" customHeight="1"/>
    <row r="2353" ht="12" customHeight="1"/>
    <row r="2354" ht="12" customHeight="1"/>
    <row r="2355" ht="12" customHeight="1"/>
    <row r="2356" ht="12" customHeight="1"/>
    <row r="2357" ht="12" customHeight="1"/>
    <row r="2358" ht="12" customHeight="1"/>
    <row r="2359" ht="12" customHeight="1"/>
    <row r="2360" ht="12" customHeight="1"/>
    <row r="2361" ht="12" customHeight="1"/>
    <row r="2362" ht="12" customHeight="1"/>
    <row r="2363" ht="12" customHeight="1"/>
    <row r="2364" ht="12" customHeight="1"/>
    <row r="2365" ht="12" customHeight="1"/>
    <row r="2366" ht="12" customHeight="1"/>
    <row r="2367" ht="12" customHeight="1"/>
    <row r="2368" ht="12" customHeight="1"/>
    <row r="2369" ht="12" customHeight="1"/>
    <row r="2370" ht="12" customHeight="1"/>
    <row r="2371" ht="12" customHeight="1"/>
    <row r="2372" ht="12" customHeight="1"/>
    <row r="2373" ht="12" customHeight="1"/>
    <row r="2374" ht="12" customHeight="1"/>
    <row r="2375" ht="12" customHeight="1"/>
    <row r="2376" ht="12" customHeight="1"/>
    <row r="2377" ht="12" customHeight="1"/>
    <row r="2378" ht="12" customHeight="1"/>
    <row r="2379" ht="12" customHeight="1"/>
    <row r="2380" ht="12" customHeight="1"/>
    <row r="2381" ht="12" customHeight="1"/>
    <row r="2382" ht="12" customHeight="1"/>
    <row r="2383" ht="12" customHeight="1"/>
    <row r="2384" ht="12" customHeight="1"/>
    <row r="2385" ht="12" customHeight="1"/>
    <row r="2386" ht="12" customHeight="1"/>
    <row r="2387" ht="12" customHeight="1"/>
    <row r="2388" ht="12" customHeight="1"/>
    <row r="2389" ht="12" customHeight="1"/>
    <row r="2390" ht="12" customHeight="1"/>
    <row r="2391" ht="12" customHeight="1"/>
    <row r="2392" ht="12" customHeight="1"/>
    <row r="2393" ht="12" customHeight="1"/>
    <row r="2394" ht="12" customHeight="1"/>
    <row r="2395" ht="12" customHeight="1"/>
    <row r="2396" ht="12" customHeight="1"/>
    <row r="2397" ht="12" customHeight="1"/>
    <row r="2398" ht="12" customHeight="1"/>
    <row r="2399" ht="12" customHeight="1"/>
    <row r="2400" ht="12" customHeight="1"/>
    <row r="2401" ht="12" customHeight="1"/>
    <row r="2402" ht="12" customHeight="1"/>
    <row r="2403" ht="12" customHeight="1"/>
    <row r="2404" ht="12" customHeight="1"/>
    <row r="2405" ht="12" customHeight="1"/>
    <row r="2406" ht="12" customHeight="1"/>
    <row r="2407" ht="12" customHeight="1"/>
    <row r="2408" ht="12" customHeight="1"/>
    <row r="2409" ht="12" customHeight="1"/>
    <row r="2410" ht="12" customHeight="1"/>
    <row r="2411" ht="12" customHeight="1"/>
    <row r="2412" ht="12" customHeight="1"/>
    <row r="2413" ht="12" customHeight="1"/>
    <row r="2414" ht="12" customHeight="1"/>
    <row r="2415" ht="12" customHeight="1"/>
    <row r="2416" ht="12" customHeight="1"/>
    <row r="2417" ht="12" customHeight="1"/>
    <row r="2418" ht="12" customHeight="1"/>
    <row r="2419" ht="12" customHeight="1"/>
    <row r="2420" ht="12" customHeight="1"/>
    <row r="2421" ht="12" customHeight="1"/>
    <row r="2422" ht="12" customHeight="1"/>
    <row r="2423" ht="12" customHeight="1"/>
    <row r="2424" ht="12" customHeight="1"/>
    <row r="2425" ht="12" customHeight="1"/>
    <row r="2426" ht="12" customHeight="1"/>
    <row r="2427" ht="12" customHeight="1"/>
    <row r="2428" ht="12" customHeight="1"/>
    <row r="2429" ht="12" customHeight="1"/>
    <row r="2430" ht="12" customHeight="1"/>
    <row r="2431" ht="12" customHeight="1"/>
    <row r="2432" ht="12" customHeight="1"/>
    <row r="2433" ht="12" customHeight="1"/>
    <row r="2434" ht="12" customHeight="1"/>
    <row r="2435" ht="12" customHeight="1"/>
    <row r="2436" ht="12" customHeight="1"/>
    <row r="2437" ht="12" customHeight="1"/>
    <row r="2438" ht="12" customHeight="1"/>
    <row r="2439" ht="12" customHeight="1"/>
    <row r="2440" ht="12" customHeight="1"/>
    <row r="2441" ht="12" customHeight="1"/>
    <row r="2442" ht="12" customHeight="1"/>
    <row r="2443" ht="12" customHeight="1"/>
    <row r="2444" ht="12" customHeight="1"/>
    <row r="2445" ht="12" customHeight="1"/>
    <row r="2446" ht="12" customHeight="1"/>
    <row r="2447" ht="12" customHeight="1"/>
    <row r="2448" ht="12" customHeight="1"/>
    <row r="2449" ht="12" customHeight="1"/>
    <row r="2450" ht="12" customHeight="1"/>
    <row r="2451" ht="12" customHeight="1"/>
    <row r="2452" ht="12" customHeight="1"/>
    <row r="2453" ht="12" customHeight="1"/>
    <row r="2454" ht="12" customHeight="1"/>
    <row r="2455" ht="12" customHeight="1"/>
    <row r="2456" ht="12" customHeight="1"/>
    <row r="2457" ht="12" customHeight="1"/>
    <row r="2458" ht="12" customHeight="1"/>
    <row r="2459" ht="12" customHeight="1"/>
    <row r="2460" ht="12" customHeight="1"/>
    <row r="2461" ht="12" customHeight="1"/>
    <row r="2462" ht="12" customHeight="1"/>
    <row r="2463" ht="12" customHeight="1"/>
    <row r="2464" ht="12" customHeight="1"/>
    <row r="2465" ht="12" customHeight="1"/>
    <row r="2466" ht="12" customHeight="1"/>
    <row r="2467" ht="12" customHeight="1"/>
    <row r="2468" ht="12" customHeight="1"/>
    <row r="2469" ht="12" customHeight="1"/>
    <row r="2470" ht="12" customHeight="1"/>
    <row r="2471" ht="12" customHeight="1"/>
    <row r="2472" ht="12" customHeight="1"/>
    <row r="2473" ht="12" customHeight="1"/>
    <row r="2474" ht="12" customHeight="1"/>
    <row r="2475" ht="12" customHeight="1"/>
    <row r="2476" ht="12" customHeight="1"/>
    <row r="2477" ht="12" customHeight="1"/>
    <row r="2478" ht="12" customHeight="1"/>
    <row r="2479" ht="12" customHeight="1"/>
    <row r="2480" ht="12" customHeight="1"/>
    <row r="2481" ht="12" customHeight="1"/>
    <row r="2482" ht="12" customHeight="1"/>
    <row r="2483" ht="12" customHeight="1"/>
    <row r="2484" ht="12" customHeight="1"/>
    <row r="2485" ht="12" customHeight="1"/>
    <row r="2486" ht="12" customHeight="1"/>
    <row r="2487" ht="12" customHeight="1"/>
    <row r="2488" ht="12" customHeight="1"/>
    <row r="2489" ht="12" customHeight="1"/>
    <row r="2490" ht="12" customHeight="1"/>
    <row r="2491" ht="12" customHeight="1"/>
    <row r="2492" ht="12" customHeight="1"/>
    <row r="2493" ht="12" customHeight="1"/>
    <row r="2494" ht="12" customHeight="1"/>
    <row r="2495" ht="12" customHeight="1"/>
    <row r="2496" ht="12" customHeight="1"/>
    <row r="2497" ht="12" customHeight="1"/>
    <row r="2498" ht="12" customHeight="1"/>
    <row r="2499" ht="12" customHeight="1"/>
    <row r="2500" ht="12" customHeight="1"/>
    <row r="2501" ht="12" customHeight="1"/>
    <row r="2502" ht="12" customHeight="1"/>
    <row r="2503" ht="12" customHeight="1"/>
    <row r="2504" ht="12" customHeight="1"/>
    <row r="2505" ht="12" customHeight="1"/>
    <row r="2506" ht="12" customHeight="1"/>
    <row r="2507" ht="12" customHeight="1"/>
    <row r="2508" ht="12" customHeight="1"/>
    <row r="2509" ht="12" customHeight="1"/>
    <row r="2510" ht="12" customHeight="1"/>
    <row r="2511" ht="12" customHeight="1"/>
    <row r="2512" ht="12" customHeight="1"/>
    <row r="2513" ht="12" customHeight="1"/>
    <row r="2514" ht="12" customHeight="1"/>
    <row r="2515" ht="12" customHeight="1"/>
    <row r="2516" ht="12" customHeight="1"/>
    <row r="2517" ht="12" customHeight="1"/>
    <row r="2518" ht="12" customHeight="1"/>
    <row r="2519" ht="12" customHeight="1"/>
    <row r="2520" ht="12" customHeight="1"/>
    <row r="2521" ht="12" customHeight="1"/>
    <row r="2522" ht="12" customHeight="1"/>
    <row r="2523" ht="12" customHeight="1"/>
    <row r="2524" ht="12" customHeight="1"/>
    <row r="2525" ht="12" customHeight="1"/>
    <row r="2526" ht="12" customHeight="1"/>
    <row r="2527" ht="12" customHeight="1"/>
    <row r="2528" ht="12" customHeight="1"/>
    <row r="2529" ht="12" customHeight="1"/>
    <row r="2530" ht="12" customHeight="1"/>
    <row r="2531" ht="12" customHeight="1"/>
    <row r="2532" ht="12" customHeight="1"/>
    <row r="2533" ht="12" customHeight="1"/>
    <row r="2534" ht="12" customHeight="1"/>
    <row r="2535" ht="12" customHeight="1"/>
    <row r="2536" ht="12" customHeight="1"/>
    <row r="2537" ht="12" customHeight="1"/>
    <row r="2538" ht="12" customHeight="1"/>
    <row r="2539" ht="12" customHeight="1"/>
    <row r="2540" ht="12" customHeight="1"/>
    <row r="2541" ht="12" customHeight="1"/>
    <row r="2542" ht="12" customHeight="1"/>
    <row r="2543" ht="12" customHeight="1"/>
    <row r="2544" ht="12" customHeight="1"/>
    <row r="2545" ht="12" customHeight="1"/>
    <row r="2546" ht="12" customHeight="1"/>
    <row r="2547" ht="12" customHeight="1"/>
    <row r="2548" ht="12" customHeight="1"/>
    <row r="2549" ht="12" customHeight="1"/>
    <row r="2550" ht="12" customHeight="1"/>
    <row r="2551" ht="12" customHeight="1"/>
    <row r="2552" ht="12" customHeight="1"/>
    <row r="2553" ht="12" customHeight="1"/>
    <row r="2554" ht="12" customHeight="1"/>
    <row r="2555" ht="12" customHeight="1"/>
    <row r="2556" ht="12" customHeight="1"/>
    <row r="2557" ht="12" customHeight="1"/>
    <row r="2558" ht="12" customHeight="1"/>
    <row r="2559" ht="12" customHeight="1"/>
    <row r="2560" ht="12" customHeight="1"/>
    <row r="2561" ht="12" customHeight="1"/>
    <row r="2562" ht="12" customHeight="1"/>
    <row r="2563" ht="12" customHeight="1"/>
    <row r="2564" ht="12" customHeight="1"/>
    <row r="2565" ht="12" customHeight="1"/>
    <row r="2566" ht="12" customHeight="1"/>
    <row r="2567" ht="12" customHeight="1"/>
    <row r="2568" ht="12" customHeight="1"/>
    <row r="2569" ht="12" customHeight="1"/>
    <row r="2570" ht="12" customHeight="1"/>
    <row r="2571" ht="12" customHeight="1"/>
    <row r="2572" ht="12" customHeight="1"/>
    <row r="2573" ht="12" customHeight="1"/>
    <row r="2574" ht="12" customHeight="1"/>
    <row r="2575" ht="12" customHeight="1"/>
    <row r="2576" ht="12" customHeight="1"/>
    <row r="2577" ht="12" customHeight="1"/>
    <row r="2578" ht="12" customHeight="1"/>
    <row r="2579" ht="12" customHeight="1"/>
    <row r="2580" ht="12" customHeight="1"/>
    <row r="2581" ht="12" customHeight="1"/>
    <row r="2582" ht="12" customHeight="1"/>
    <row r="2583" ht="12" customHeight="1"/>
    <row r="2584" ht="12" customHeight="1"/>
    <row r="2585" ht="12" customHeight="1"/>
    <row r="2586" ht="12" customHeight="1"/>
    <row r="2587" ht="12" customHeight="1"/>
    <row r="2588" ht="12" customHeight="1"/>
    <row r="2589" ht="12" customHeight="1"/>
    <row r="2590" ht="12" customHeight="1"/>
    <row r="2591" ht="12" customHeight="1"/>
    <row r="2592" ht="12" customHeight="1"/>
    <row r="2593" ht="12" customHeight="1"/>
    <row r="2594" ht="12" customHeight="1"/>
    <row r="2595" ht="12" customHeight="1"/>
    <row r="2596" ht="12" customHeight="1"/>
    <row r="2597" ht="12" customHeight="1"/>
    <row r="2598" ht="12" customHeight="1"/>
    <row r="2599" ht="12" customHeight="1"/>
    <row r="2600" ht="12" customHeight="1"/>
    <row r="2601" ht="12" customHeight="1"/>
    <row r="2602" ht="12" customHeight="1"/>
    <row r="2603" ht="12" customHeight="1"/>
    <row r="2604" ht="12" customHeight="1"/>
    <row r="2605" ht="12" customHeight="1"/>
    <row r="2606" ht="12" customHeight="1"/>
    <row r="2607" ht="12" customHeight="1"/>
    <row r="2608" ht="12" customHeight="1"/>
    <row r="2609" ht="12" customHeight="1"/>
    <row r="2610" ht="12" customHeight="1"/>
    <row r="2611" ht="12" customHeight="1"/>
    <row r="2612" ht="12" customHeight="1"/>
    <row r="2613" ht="12" customHeight="1"/>
    <row r="2614" ht="12" customHeight="1"/>
    <row r="2615" ht="12" customHeight="1"/>
    <row r="2616" ht="12" customHeight="1"/>
    <row r="2617" ht="12" customHeight="1"/>
    <row r="2618" ht="12" customHeight="1"/>
    <row r="2619" ht="12" customHeight="1"/>
    <row r="2620" ht="12" customHeight="1"/>
    <row r="2621" ht="12" customHeight="1"/>
    <row r="2622" ht="12" customHeight="1"/>
    <row r="2623" ht="12" customHeight="1"/>
    <row r="2624" ht="12" customHeight="1"/>
    <row r="2625" ht="12" customHeight="1"/>
    <row r="2626" ht="12" customHeight="1"/>
    <row r="2627" ht="12" customHeight="1"/>
    <row r="2628" ht="12" customHeight="1"/>
    <row r="2629" ht="12" customHeight="1"/>
    <row r="2630" ht="12" customHeight="1"/>
    <row r="2631" ht="12" customHeight="1"/>
    <row r="2632" ht="12" customHeight="1"/>
    <row r="2633" ht="12" customHeight="1"/>
    <row r="2634" ht="12" customHeight="1"/>
    <row r="2635" ht="12" customHeight="1"/>
    <row r="2636" ht="12" customHeight="1"/>
    <row r="2637" ht="12" customHeight="1"/>
    <row r="2638" ht="12" customHeight="1"/>
    <row r="2639" ht="12" customHeight="1"/>
    <row r="2640" ht="12" customHeight="1"/>
    <row r="2641" ht="12" customHeight="1"/>
    <row r="2642" ht="12" customHeight="1"/>
    <row r="2643" ht="12" customHeight="1"/>
    <row r="2644" ht="12" customHeight="1"/>
    <row r="2645" ht="12" customHeight="1"/>
    <row r="2646" ht="12" customHeight="1"/>
    <row r="2647" ht="12" customHeight="1"/>
    <row r="2648" ht="12" customHeight="1"/>
    <row r="2649" ht="12" customHeight="1"/>
    <row r="2650" ht="12" customHeight="1"/>
    <row r="2651" ht="12" customHeight="1"/>
    <row r="2652" ht="12" customHeight="1"/>
    <row r="2653" ht="12" customHeight="1"/>
    <row r="2654" ht="12" customHeight="1"/>
    <row r="2655" ht="12" customHeight="1"/>
    <row r="2656" ht="12" customHeight="1"/>
    <row r="2657" ht="12" customHeight="1"/>
    <row r="2658" ht="12" customHeight="1"/>
    <row r="2659" ht="12" customHeight="1"/>
    <row r="2660" ht="12" customHeight="1"/>
    <row r="2661" ht="12" customHeight="1"/>
    <row r="2662" ht="12" customHeight="1"/>
    <row r="2663" ht="12" customHeight="1"/>
    <row r="2664" ht="12" customHeight="1"/>
    <row r="2665" ht="12" customHeight="1"/>
    <row r="2666" ht="12" customHeight="1"/>
    <row r="2667" ht="12" customHeight="1"/>
    <row r="2668" ht="12" customHeight="1"/>
    <row r="2669" ht="12" customHeight="1"/>
    <row r="2670" ht="12" customHeight="1"/>
    <row r="2671" ht="12" customHeight="1"/>
    <row r="2672" ht="12" customHeight="1"/>
    <row r="2673" ht="12" customHeight="1"/>
    <row r="2674" ht="12" customHeight="1"/>
    <row r="2675" ht="12" customHeight="1"/>
    <row r="2676" ht="12" customHeight="1"/>
    <row r="2677" ht="12" customHeight="1"/>
    <row r="2678" ht="12" customHeight="1"/>
    <row r="2679" ht="12" customHeight="1"/>
    <row r="2680" ht="12" customHeight="1"/>
    <row r="2681" ht="12" customHeight="1"/>
    <row r="2682" ht="12" customHeight="1"/>
    <row r="2683" ht="12" customHeight="1"/>
    <row r="2684" ht="12" customHeight="1"/>
    <row r="2685" ht="12" customHeight="1"/>
    <row r="2686" ht="12" customHeight="1"/>
    <row r="2687" ht="12" customHeight="1"/>
    <row r="2688" ht="12" customHeight="1"/>
    <row r="2689" ht="12" customHeight="1"/>
    <row r="2690" ht="12" customHeight="1"/>
    <row r="2691" ht="12" customHeight="1"/>
    <row r="2692" ht="12" customHeight="1"/>
    <row r="2693" ht="12" customHeight="1"/>
    <row r="2694" ht="12" customHeight="1"/>
    <row r="2695" ht="12" customHeight="1"/>
    <row r="2696" ht="12" customHeight="1"/>
    <row r="2697" ht="12" customHeight="1"/>
    <row r="2698" ht="12" customHeight="1"/>
    <row r="2699" ht="12" customHeight="1"/>
    <row r="2700" ht="12" customHeight="1"/>
    <row r="2701" ht="12" customHeight="1"/>
    <row r="2702" ht="12" customHeight="1"/>
    <row r="2703" ht="12" customHeight="1"/>
    <row r="2704" ht="12" customHeight="1"/>
    <row r="2705" ht="12" customHeight="1"/>
    <row r="2706" ht="12" customHeight="1"/>
    <row r="2707" ht="12" customHeight="1"/>
    <row r="2708" ht="12" customHeight="1"/>
    <row r="2709" ht="12" customHeight="1"/>
    <row r="2710" ht="12" customHeight="1"/>
    <row r="2711" ht="12" customHeight="1"/>
    <row r="2712" ht="12" customHeight="1"/>
    <row r="2713" ht="12" customHeight="1"/>
    <row r="2714" ht="12" customHeight="1"/>
    <row r="2715" ht="12" customHeight="1"/>
    <row r="2716" ht="12" customHeight="1"/>
    <row r="2717" ht="12" customHeight="1"/>
    <row r="2718" ht="12" customHeight="1"/>
    <row r="2719" ht="12" customHeight="1"/>
    <row r="2720" ht="12" customHeight="1"/>
    <row r="2721" ht="12" customHeight="1"/>
    <row r="2722" ht="12" customHeight="1"/>
    <row r="2723" ht="12" customHeight="1"/>
    <row r="2724" ht="12" customHeight="1"/>
    <row r="2725" ht="12" customHeight="1"/>
    <row r="2726" ht="12" customHeight="1"/>
    <row r="2727" ht="12" customHeight="1"/>
    <row r="2728" ht="12" customHeight="1"/>
    <row r="2729" ht="12" customHeight="1"/>
    <row r="2730" ht="12" customHeight="1"/>
    <row r="2731" ht="12" customHeight="1"/>
    <row r="2732" ht="12" customHeight="1"/>
    <row r="2733" ht="12" customHeight="1"/>
    <row r="2734" ht="12" customHeight="1"/>
    <row r="2735" ht="12" customHeight="1"/>
    <row r="2736" ht="12" customHeight="1"/>
    <row r="2737" ht="12" customHeight="1"/>
    <row r="2738" ht="12" customHeight="1"/>
    <row r="2739" ht="12" customHeight="1"/>
    <row r="2740" ht="12" customHeight="1"/>
    <row r="2741" ht="12" customHeight="1"/>
    <row r="2742" ht="12" customHeight="1"/>
    <row r="2743" ht="12" customHeight="1"/>
    <row r="2744" ht="12" customHeight="1"/>
    <row r="2745" ht="12" customHeight="1"/>
    <row r="2746" ht="12" customHeight="1"/>
    <row r="2747" ht="12" customHeight="1"/>
    <row r="2748" ht="12" customHeight="1"/>
    <row r="2749" ht="12" customHeight="1"/>
    <row r="2750" ht="12" customHeight="1"/>
    <row r="2751" ht="12" customHeight="1"/>
    <row r="2752" ht="12" customHeight="1"/>
    <row r="2753" ht="12" customHeight="1"/>
    <row r="2754" ht="12" customHeight="1"/>
    <row r="2755" ht="12" customHeight="1"/>
    <row r="2756" ht="12" customHeight="1"/>
    <row r="2757" ht="12" customHeight="1"/>
    <row r="2758" ht="12" customHeight="1"/>
    <row r="2759" ht="12" customHeight="1"/>
    <row r="2760" ht="12" customHeight="1"/>
    <row r="2761" ht="12" customHeight="1"/>
    <row r="2762" ht="12" customHeight="1"/>
    <row r="2763" ht="12" customHeight="1"/>
    <row r="2764" ht="12" customHeight="1"/>
    <row r="2765" ht="12" customHeight="1"/>
    <row r="2766" ht="12" customHeight="1"/>
    <row r="2767" ht="12" customHeight="1"/>
    <row r="2768" ht="12" customHeight="1"/>
    <row r="2769" ht="12" customHeight="1"/>
    <row r="2770" ht="12" customHeight="1"/>
    <row r="2771" ht="12" customHeight="1"/>
    <row r="2772" ht="12" customHeight="1"/>
    <row r="2773" ht="12" customHeight="1"/>
    <row r="2774" ht="12" customHeight="1"/>
    <row r="2775" ht="12" customHeight="1"/>
    <row r="2776" ht="12" customHeight="1"/>
    <row r="2777" ht="12" customHeight="1"/>
    <row r="2778" ht="12" customHeight="1"/>
    <row r="2779" ht="12" customHeight="1"/>
    <row r="2780" ht="12" customHeight="1"/>
    <row r="2781" ht="12" customHeight="1"/>
    <row r="2782" ht="12" customHeight="1"/>
    <row r="2783" ht="12" customHeight="1"/>
    <row r="2784" ht="12" customHeight="1"/>
    <row r="2785" ht="12" customHeight="1"/>
    <row r="2786" ht="12" customHeight="1"/>
    <row r="2787" ht="12" customHeight="1"/>
    <row r="2788" ht="12" customHeight="1"/>
    <row r="2789" ht="12" customHeight="1"/>
    <row r="2790" ht="12" customHeight="1"/>
    <row r="2791" ht="12" customHeight="1"/>
    <row r="2792" ht="12" customHeight="1"/>
    <row r="2793" ht="12" customHeight="1"/>
    <row r="2794" ht="12" customHeight="1"/>
    <row r="2795" ht="12" customHeight="1"/>
    <row r="2796" ht="12" customHeight="1"/>
    <row r="2797" ht="12" customHeight="1"/>
    <row r="2798" ht="12" customHeight="1"/>
    <row r="2799" ht="12" customHeight="1"/>
    <row r="2800" ht="12" customHeight="1"/>
    <row r="2801" ht="12" customHeight="1"/>
    <row r="2802" ht="12" customHeight="1"/>
    <row r="2803" ht="12" customHeight="1"/>
    <row r="2804" ht="12" customHeight="1"/>
    <row r="2805" ht="12" customHeight="1"/>
    <row r="2806" ht="12" customHeight="1"/>
    <row r="2807" ht="12" customHeight="1"/>
    <row r="2808" ht="12" customHeight="1"/>
    <row r="2809" ht="12" customHeight="1"/>
    <row r="2810" ht="12" customHeight="1"/>
    <row r="2811" ht="12" customHeight="1"/>
    <row r="2812" ht="12" customHeight="1"/>
    <row r="2813" ht="12" customHeight="1"/>
    <row r="2814" ht="12" customHeight="1"/>
    <row r="2815" ht="12" customHeight="1"/>
    <row r="2816" ht="12" customHeight="1"/>
    <row r="2817" ht="12" customHeight="1"/>
    <row r="2818" ht="12" customHeight="1"/>
    <row r="2819" ht="12" customHeight="1"/>
    <row r="2820" ht="12" customHeight="1"/>
    <row r="2821" ht="12" customHeight="1"/>
    <row r="2822" ht="12" customHeight="1"/>
    <row r="2823" ht="12" customHeight="1"/>
    <row r="2824" ht="12" customHeight="1"/>
    <row r="2825" ht="12" customHeight="1"/>
    <row r="2826" ht="12" customHeight="1"/>
    <row r="2827" ht="12" customHeight="1"/>
    <row r="2828" ht="12" customHeight="1"/>
    <row r="2829" ht="12" customHeight="1"/>
    <row r="2830" ht="12" customHeight="1"/>
    <row r="2831" ht="12" customHeight="1"/>
    <row r="2832" ht="12" customHeight="1"/>
    <row r="2833" ht="12" customHeight="1"/>
    <row r="2834" ht="12" customHeight="1"/>
    <row r="2835" ht="12" customHeight="1"/>
    <row r="2836" ht="12" customHeight="1"/>
    <row r="2837" ht="12" customHeight="1"/>
    <row r="2838" ht="12" customHeight="1"/>
    <row r="2839" ht="12" customHeight="1"/>
    <row r="2840" ht="12" customHeight="1"/>
    <row r="2841" ht="12" customHeight="1"/>
    <row r="2842" ht="12" customHeight="1"/>
    <row r="2843" ht="12" customHeight="1"/>
    <row r="2844" ht="12" customHeight="1"/>
    <row r="2845" ht="12" customHeight="1"/>
    <row r="2846" ht="12" customHeight="1"/>
    <row r="2847" ht="12" customHeight="1"/>
    <row r="2848" ht="12" customHeight="1"/>
    <row r="2849" ht="12" customHeight="1"/>
    <row r="2850" ht="12" customHeight="1"/>
    <row r="2851" ht="12" customHeight="1"/>
    <row r="2852" ht="12" customHeight="1"/>
    <row r="2853" ht="12" customHeight="1"/>
    <row r="2854" ht="12" customHeight="1"/>
    <row r="2855" ht="12" customHeight="1"/>
    <row r="2856" ht="12" customHeight="1"/>
    <row r="2857" ht="12" customHeight="1"/>
    <row r="2858" ht="12" customHeight="1"/>
    <row r="2859" ht="12" customHeight="1"/>
    <row r="2860" ht="12" customHeight="1"/>
    <row r="2861" ht="12" customHeight="1"/>
    <row r="2862" ht="12" customHeight="1"/>
    <row r="2863" ht="12" customHeight="1"/>
    <row r="2864" ht="12" customHeight="1"/>
    <row r="2865" ht="12" customHeight="1"/>
    <row r="2866" ht="12" customHeight="1"/>
    <row r="2867" ht="12" customHeight="1"/>
    <row r="2868" ht="12" customHeight="1"/>
    <row r="2869" ht="12" customHeight="1"/>
    <row r="2870" ht="12" customHeight="1"/>
    <row r="2871" ht="12" customHeight="1"/>
    <row r="2872" ht="12" customHeight="1"/>
    <row r="2873" ht="12" customHeight="1"/>
    <row r="2874" ht="12" customHeight="1"/>
    <row r="2875" ht="12" customHeight="1"/>
    <row r="2876" ht="12" customHeight="1"/>
    <row r="2877" ht="12" customHeight="1"/>
    <row r="2878" ht="12" customHeight="1"/>
    <row r="2879" ht="12" customHeight="1"/>
    <row r="2880" ht="12" customHeight="1"/>
    <row r="2881" ht="12" customHeight="1"/>
    <row r="2882" ht="12" customHeight="1"/>
    <row r="2883" ht="12" customHeight="1"/>
    <row r="2884" ht="12" customHeight="1"/>
    <row r="2885" ht="12" customHeight="1"/>
    <row r="2886" ht="12" customHeight="1"/>
    <row r="2887" ht="12" customHeight="1"/>
    <row r="2888" ht="12" customHeight="1"/>
    <row r="2889" ht="12" customHeight="1"/>
    <row r="2890" ht="12" customHeight="1"/>
    <row r="2891" ht="12" customHeight="1"/>
    <row r="2892" ht="12" customHeight="1"/>
    <row r="2893" ht="12" customHeight="1"/>
    <row r="2894" ht="12" customHeight="1"/>
    <row r="2895" ht="12" customHeight="1"/>
    <row r="2896" ht="12" customHeight="1"/>
    <row r="2897" ht="12" customHeight="1"/>
    <row r="2898" ht="12" customHeight="1"/>
    <row r="2899" ht="12" customHeight="1"/>
    <row r="2900" ht="12" customHeight="1"/>
    <row r="2901" ht="12" customHeight="1"/>
    <row r="2902" ht="12" customHeight="1"/>
    <row r="2903" ht="12" customHeight="1"/>
    <row r="2904" ht="12" customHeight="1"/>
    <row r="2905" ht="12" customHeight="1"/>
    <row r="2906" ht="12" customHeight="1"/>
    <row r="2907" ht="12" customHeight="1"/>
    <row r="2908" ht="12" customHeight="1"/>
    <row r="2909" ht="12" customHeight="1"/>
    <row r="2910" ht="12" customHeight="1"/>
    <row r="2911" ht="12" customHeight="1"/>
    <row r="2912" ht="12" customHeight="1"/>
    <row r="2913" ht="12" customHeight="1"/>
    <row r="2914" ht="12" customHeight="1"/>
    <row r="2915" ht="12" customHeight="1"/>
    <row r="2916" ht="12" customHeight="1"/>
    <row r="2917" ht="12" customHeight="1"/>
    <row r="2918" ht="12" customHeight="1"/>
    <row r="2919" ht="12" customHeight="1"/>
    <row r="2920" ht="12" customHeight="1"/>
    <row r="2921" ht="12" customHeight="1"/>
    <row r="2922" ht="12" customHeight="1"/>
    <row r="2923" ht="12" customHeight="1"/>
    <row r="2924" ht="12" customHeight="1"/>
    <row r="2925" ht="12" customHeight="1"/>
    <row r="2926" ht="12" customHeight="1"/>
    <row r="2927" ht="12" customHeight="1"/>
    <row r="2928" ht="12" customHeight="1"/>
    <row r="2929" ht="12" customHeight="1"/>
    <row r="2930" ht="12" customHeight="1"/>
    <row r="2931" ht="12" customHeight="1"/>
    <row r="2932" ht="12" customHeight="1"/>
    <row r="2933" ht="12" customHeight="1"/>
    <row r="2934" ht="12" customHeight="1"/>
    <row r="2935" ht="12" customHeight="1"/>
    <row r="2936" ht="12" customHeight="1"/>
    <row r="2937" ht="12" customHeight="1"/>
    <row r="2938" ht="12" customHeight="1"/>
    <row r="2939" ht="12" customHeight="1"/>
    <row r="2940" ht="12" customHeight="1"/>
    <row r="2941" ht="12" customHeight="1"/>
    <row r="2942" ht="12" customHeight="1"/>
    <row r="2943" ht="12" customHeight="1"/>
    <row r="2944" ht="12" customHeight="1"/>
    <row r="2945" ht="12" customHeight="1"/>
    <row r="2946" ht="12" customHeight="1"/>
    <row r="2947" ht="12" customHeight="1"/>
    <row r="2948" ht="12" customHeight="1"/>
    <row r="2949" ht="12" customHeight="1"/>
    <row r="2950" ht="12" customHeight="1"/>
    <row r="2951" ht="12" customHeight="1"/>
    <row r="2952" ht="12" customHeight="1"/>
    <row r="2953" ht="12" customHeight="1"/>
    <row r="2954" ht="12" customHeight="1"/>
    <row r="2955" ht="12" customHeight="1"/>
    <row r="2956" ht="12" customHeight="1"/>
    <row r="2957" ht="12" customHeight="1"/>
    <row r="2958" ht="12" customHeight="1"/>
    <row r="2959" ht="12" customHeight="1"/>
    <row r="2960" ht="12" customHeight="1"/>
    <row r="2961" ht="12" customHeight="1"/>
    <row r="2962" ht="12" customHeight="1"/>
    <row r="2963" ht="12" customHeight="1"/>
    <row r="2964" ht="12" customHeight="1"/>
    <row r="2965" ht="12" customHeight="1"/>
    <row r="2966" ht="12" customHeight="1"/>
    <row r="2967" ht="12" customHeight="1"/>
    <row r="2968" ht="12" customHeight="1"/>
    <row r="2969" ht="12" customHeight="1"/>
    <row r="2970" ht="12" customHeight="1"/>
    <row r="2971" ht="12" customHeight="1"/>
    <row r="2972" ht="12" customHeight="1"/>
    <row r="2973" ht="12" customHeight="1"/>
    <row r="2974" ht="12" customHeight="1"/>
    <row r="2975" ht="12" customHeight="1"/>
    <row r="2976" ht="12" customHeight="1"/>
    <row r="2977" ht="12" customHeight="1"/>
    <row r="2978" ht="12" customHeight="1"/>
    <row r="2979" ht="12" customHeight="1"/>
    <row r="2980" ht="12" customHeight="1"/>
    <row r="2981" ht="12" customHeight="1"/>
    <row r="2982" ht="12" customHeight="1"/>
    <row r="2983" ht="12" customHeight="1"/>
    <row r="2984" ht="12" customHeight="1"/>
    <row r="2985" ht="12" customHeight="1"/>
    <row r="2986" ht="12" customHeight="1"/>
    <row r="2987" ht="12" customHeight="1"/>
    <row r="2988" ht="12" customHeight="1"/>
    <row r="2989" ht="12" customHeight="1"/>
    <row r="2990" ht="12" customHeight="1"/>
    <row r="2991" ht="12" customHeight="1"/>
    <row r="2992" ht="12" customHeight="1"/>
    <row r="2993" ht="12" customHeight="1"/>
    <row r="2994" ht="12" customHeight="1"/>
    <row r="2995" ht="12" customHeight="1"/>
    <row r="2996" ht="12" customHeight="1"/>
    <row r="2997" ht="12" customHeight="1"/>
    <row r="2998" ht="12" customHeight="1"/>
    <row r="2999" ht="12" customHeight="1"/>
    <row r="3000" ht="12" customHeight="1"/>
    <row r="3001" ht="12" customHeight="1"/>
    <row r="3002" ht="12" customHeight="1"/>
    <row r="3003" ht="12" customHeight="1"/>
    <row r="3004" ht="12" customHeight="1"/>
    <row r="3005" ht="12" customHeight="1"/>
    <row r="3006" ht="12" customHeight="1"/>
    <row r="3007" ht="12" customHeight="1"/>
    <row r="3008" ht="12" customHeight="1"/>
    <row r="3009" ht="12" customHeight="1"/>
    <row r="3010" ht="12" customHeight="1"/>
    <row r="3011" ht="12" customHeight="1"/>
    <row r="3012" ht="12" customHeight="1"/>
    <row r="3013" ht="12" customHeight="1"/>
    <row r="3014" ht="12" customHeight="1"/>
    <row r="3015" ht="12" customHeight="1"/>
    <row r="3016" ht="12" customHeight="1"/>
    <row r="3017" ht="12" customHeight="1"/>
    <row r="3018" ht="12" customHeight="1"/>
    <row r="3019" ht="12" customHeight="1"/>
    <row r="3020" ht="12" customHeight="1"/>
    <row r="3021" ht="12" customHeight="1"/>
    <row r="3022" ht="12" customHeight="1"/>
    <row r="3023" ht="12" customHeight="1"/>
    <row r="3024" ht="12" customHeight="1"/>
    <row r="3025" ht="12" customHeight="1"/>
    <row r="3026" ht="12" customHeight="1"/>
    <row r="3027" ht="12" customHeight="1"/>
    <row r="3028" ht="12" customHeight="1"/>
    <row r="3029" ht="12" customHeight="1"/>
    <row r="3030" ht="12" customHeight="1"/>
    <row r="3031" ht="12" customHeight="1"/>
    <row r="3032" ht="12" customHeight="1"/>
    <row r="3033" ht="12" customHeight="1"/>
    <row r="3034" ht="12" customHeight="1"/>
    <row r="3035" ht="12" customHeight="1"/>
    <row r="3036" ht="12" customHeight="1"/>
    <row r="3037" ht="12" customHeight="1"/>
    <row r="3038" ht="12" customHeight="1"/>
    <row r="3039" ht="12" customHeight="1"/>
    <row r="3040" ht="12" customHeight="1"/>
    <row r="3041" ht="12" customHeight="1"/>
    <row r="3042" ht="12" customHeight="1"/>
    <row r="3043" ht="12" customHeight="1"/>
    <row r="3044" ht="12" customHeight="1"/>
    <row r="3045" ht="12" customHeight="1"/>
    <row r="3046" ht="12" customHeight="1"/>
    <row r="3047" ht="12" customHeight="1"/>
    <row r="3048" ht="12" customHeight="1"/>
    <row r="3049" ht="12" customHeight="1"/>
    <row r="3050" ht="12" customHeight="1"/>
    <row r="3051" ht="12" customHeight="1"/>
    <row r="3052" ht="12" customHeight="1"/>
    <row r="3053" ht="12" customHeight="1"/>
    <row r="3054" ht="12" customHeight="1"/>
    <row r="3055" ht="12" customHeight="1"/>
    <row r="3056" ht="12" customHeight="1"/>
    <row r="3057" ht="12" customHeight="1"/>
    <row r="3058" ht="12" customHeight="1"/>
    <row r="3059" ht="12" customHeight="1"/>
    <row r="3060" ht="12" customHeight="1"/>
    <row r="3061" ht="12" customHeight="1"/>
    <row r="3062" ht="12" customHeight="1"/>
    <row r="3063" ht="12" customHeight="1"/>
    <row r="3064" ht="12" customHeight="1"/>
    <row r="3065" ht="12" customHeight="1"/>
    <row r="3066" ht="12" customHeight="1"/>
    <row r="3067" ht="12" customHeight="1"/>
    <row r="3068" ht="12" customHeight="1"/>
    <row r="3069" ht="12" customHeight="1"/>
    <row r="3070" ht="12" customHeight="1"/>
    <row r="3071" ht="12" customHeight="1"/>
    <row r="3072" ht="12" customHeight="1"/>
    <row r="3073" ht="12" customHeight="1"/>
    <row r="3074" ht="12" customHeight="1"/>
    <row r="3075" ht="12" customHeight="1"/>
    <row r="3076" ht="12" customHeight="1"/>
    <row r="3077" ht="12" customHeight="1"/>
    <row r="3078" ht="12" customHeight="1"/>
    <row r="3079" ht="12" customHeight="1"/>
    <row r="3080" ht="12" customHeight="1"/>
    <row r="3081" ht="12" customHeight="1"/>
    <row r="3082" ht="12" customHeight="1"/>
    <row r="3083" ht="12" customHeight="1"/>
    <row r="3084" ht="12" customHeight="1"/>
    <row r="3085" ht="12" customHeight="1"/>
    <row r="3086" ht="12" customHeight="1"/>
    <row r="3087" ht="12" customHeight="1"/>
    <row r="3088" ht="12" customHeight="1"/>
    <row r="3089" ht="12" customHeight="1"/>
    <row r="3090" ht="12" customHeight="1"/>
    <row r="3091" ht="12" customHeight="1"/>
    <row r="3092" ht="12" customHeight="1"/>
    <row r="3093" ht="12" customHeight="1"/>
    <row r="3094" ht="12" customHeight="1"/>
    <row r="3095" ht="12" customHeight="1"/>
    <row r="3096" ht="12" customHeight="1"/>
    <row r="3097" ht="12" customHeight="1"/>
    <row r="3098" ht="12" customHeight="1"/>
    <row r="3099" ht="12" customHeight="1"/>
    <row r="3100" ht="12" customHeight="1"/>
    <row r="3101" ht="12" customHeight="1"/>
    <row r="3102" ht="12" customHeight="1"/>
    <row r="3103" ht="12" customHeight="1"/>
    <row r="3104" ht="12" customHeight="1"/>
    <row r="3105" ht="12" customHeight="1"/>
    <row r="3106" ht="12" customHeight="1"/>
    <row r="3107" ht="12" customHeight="1"/>
    <row r="3108" ht="12" customHeight="1"/>
    <row r="3109" ht="12" customHeight="1"/>
    <row r="3110" ht="12" customHeight="1"/>
    <row r="3111" ht="12" customHeight="1"/>
    <row r="3112" ht="12" customHeight="1"/>
    <row r="3113" ht="12" customHeight="1"/>
    <row r="3114" ht="12" customHeight="1"/>
    <row r="3115" ht="12" customHeight="1"/>
    <row r="3116" ht="12" customHeight="1"/>
    <row r="3117" ht="12" customHeight="1"/>
    <row r="3118" ht="12" customHeight="1"/>
    <row r="3119" ht="12" customHeight="1"/>
    <row r="3120" ht="12" customHeight="1"/>
    <row r="3121" ht="12" customHeight="1"/>
    <row r="3122" ht="12" customHeight="1"/>
    <row r="3123" ht="12" customHeight="1"/>
    <row r="3124" ht="12" customHeight="1"/>
    <row r="3125" ht="12" customHeight="1"/>
    <row r="3126" ht="12" customHeight="1"/>
    <row r="3127" ht="12" customHeight="1"/>
    <row r="3128" ht="12" customHeight="1"/>
    <row r="3129" ht="12" customHeight="1"/>
    <row r="3130" ht="12" customHeight="1"/>
    <row r="3131" ht="12" customHeight="1"/>
    <row r="3132" ht="12" customHeight="1"/>
    <row r="3133" ht="12" customHeight="1"/>
    <row r="3134" ht="12" customHeight="1"/>
    <row r="3135" ht="12" customHeight="1"/>
    <row r="3136" ht="12" customHeight="1"/>
    <row r="3137" ht="12" customHeight="1"/>
    <row r="3138" ht="12" customHeight="1"/>
    <row r="3139" ht="12" customHeight="1"/>
    <row r="3140" ht="12" customHeight="1"/>
    <row r="3141" ht="12" customHeight="1"/>
    <row r="3142" ht="12" customHeight="1"/>
    <row r="3143" ht="12" customHeight="1"/>
    <row r="3144" ht="12" customHeight="1"/>
    <row r="3145" ht="12" customHeight="1"/>
    <row r="3146" ht="12" customHeight="1"/>
    <row r="3147" ht="12" customHeight="1"/>
    <row r="3148" ht="12" customHeight="1"/>
    <row r="3149" ht="12" customHeight="1"/>
    <row r="3150" ht="12" customHeight="1"/>
    <row r="3151" ht="12" customHeight="1"/>
    <row r="3152" ht="12" customHeight="1"/>
    <row r="3153" ht="12" customHeight="1"/>
    <row r="3154" ht="12" customHeight="1"/>
    <row r="3155" ht="12" customHeight="1"/>
    <row r="3156" ht="12" customHeight="1"/>
    <row r="3157" ht="12" customHeight="1"/>
    <row r="3158" ht="12" customHeight="1"/>
    <row r="3159" ht="12" customHeight="1"/>
    <row r="3160" ht="12" customHeight="1"/>
    <row r="3161" ht="12" customHeight="1"/>
    <row r="3162" ht="12" customHeight="1"/>
    <row r="3163" ht="12" customHeight="1"/>
    <row r="3164" ht="12" customHeight="1"/>
    <row r="3165" ht="12" customHeight="1"/>
    <row r="3166" ht="12" customHeight="1"/>
    <row r="3167" ht="12" customHeight="1"/>
    <row r="3168" ht="12" customHeight="1"/>
    <row r="3169" ht="12" customHeight="1"/>
    <row r="3170" ht="12" customHeight="1"/>
    <row r="3171" ht="12" customHeight="1"/>
    <row r="3172" ht="12" customHeight="1"/>
    <row r="3173" ht="12" customHeight="1"/>
    <row r="3174" ht="12" customHeight="1"/>
    <row r="3175" ht="12" customHeight="1"/>
    <row r="3176" ht="12" customHeight="1"/>
    <row r="3177" ht="12" customHeight="1"/>
    <row r="3178" ht="12" customHeight="1"/>
    <row r="3179" ht="12" customHeight="1"/>
    <row r="3180" ht="12" customHeight="1"/>
    <row r="3181" ht="12" customHeight="1"/>
    <row r="3182" ht="12" customHeight="1"/>
    <row r="3183" ht="12" customHeight="1"/>
    <row r="3184" ht="12" customHeight="1"/>
    <row r="3185" ht="12" customHeight="1"/>
    <row r="3186" ht="12" customHeight="1"/>
    <row r="3187" ht="12" customHeight="1"/>
    <row r="3188" ht="12" customHeight="1"/>
    <row r="3189" ht="12" customHeight="1"/>
    <row r="3190" ht="12" customHeight="1"/>
    <row r="3191" ht="12" customHeight="1"/>
    <row r="3192" ht="12" customHeight="1"/>
    <row r="3193" ht="12" customHeight="1"/>
    <row r="3194" ht="12" customHeight="1"/>
    <row r="3195" ht="12" customHeight="1"/>
    <row r="3196" ht="12" customHeight="1"/>
    <row r="3197" ht="12" customHeight="1"/>
    <row r="3198" ht="12" customHeight="1"/>
    <row r="3199" ht="12" customHeight="1"/>
    <row r="3200" ht="12" customHeight="1"/>
    <row r="3201" ht="12" customHeight="1"/>
    <row r="3202" ht="12" customHeight="1"/>
    <row r="3203" ht="12" customHeight="1"/>
    <row r="3204" ht="12" customHeight="1"/>
    <row r="3205" ht="12" customHeight="1"/>
    <row r="3206" ht="12" customHeight="1"/>
    <row r="3207" ht="12" customHeight="1"/>
    <row r="3208" ht="12" customHeight="1"/>
    <row r="3209" ht="12" customHeight="1"/>
    <row r="3210" ht="12" customHeight="1"/>
    <row r="3211" ht="12" customHeight="1"/>
    <row r="3212" ht="12" customHeight="1"/>
    <row r="3213" ht="12" customHeight="1"/>
    <row r="3214" ht="12" customHeight="1"/>
    <row r="3215" ht="12" customHeight="1"/>
    <row r="3216" ht="12" customHeight="1"/>
    <row r="3217" ht="12" customHeight="1"/>
    <row r="3218" ht="12" customHeight="1"/>
    <row r="3219" ht="12" customHeight="1"/>
    <row r="3220" ht="12" customHeight="1"/>
    <row r="3221" ht="12" customHeight="1"/>
    <row r="3222" ht="12" customHeight="1"/>
    <row r="3223" ht="12" customHeight="1"/>
    <row r="3224" ht="12" customHeight="1"/>
    <row r="3225" ht="12" customHeight="1"/>
    <row r="3226" ht="12" customHeight="1"/>
    <row r="3227" ht="12" customHeight="1"/>
    <row r="3228" ht="12" customHeight="1"/>
    <row r="3229" ht="12" customHeight="1"/>
    <row r="3230" ht="12" customHeight="1"/>
    <row r="3231" ht="12" customHeight="1"/>
    <row r="3232" ht="12" customHeight="1"/>
    <row r="3233" ht="12" customHeight="1"/>
    <row r="3234" ht="12" customHeight="1"/>
    <row r="3235" ht="12" customHeight="1"/>
    <row r="3236" ht="12" customHeight="1"/>
    <row r="3237" ht="12" customHeight="1"/>
    <row r="3238" ht="12" customHeight="1"/>
    <row r="3239" ht="12" customHeight="1"/>
    <row r="3240" ht="12" customHeight="1"/>
    <row r="3241" ht="12" customHeight="1"/>
    <row r="3242" ht="12" customHeight="1"/>
    <row r="3243" ht="12" customHeight="1"/>
    <row r="3244" ht="12" customHeight="1"/>
    <row r="3245" ht="12" customHeight="1"/>
    <row r="3246" ht="12" customHeight="1"/>
    <row r="3247" ht="12" customHeight="1"/>
    <row r="3248" ht="12" customHeight="1"/>
    <row r="3249" ht="12" customHeight="1"/>
    <row r="3250" ht="12" customHeight="1"/>
    <row r="3251" ht="12" customHeight="1"/>
    <row r="3252" ht="12" customHeight="1"/>
    <row r="3253" ht="12" customHeight="1"/>
    <row r="3254" ht="12" customHeight="1"/>
    <row r="3255" ht="12" customHeight="1"/>
    <row r="3256" ht="12" customHeight="1"/>
    <row r="3257" ht="12" customHeight="1"/>
    <row r="3258" ht="12" customHeight="1"/>
    <row r="3259" ht="12" customHeight="1"/>
    <row r="3260" ht="12" customHeight="1"/>
    <row r="3261" ht="12" customHeight="1"/>
    <row r="3262" ht="12" customHeight="1"/>
    <row r="3263" ht="12" customHeight="1"/>
    <row r="3264" ht="12" customHeight="1"/>
    <row r="3265" ht="12" customHeight="1"/>
    <row r="3266" ht="12" customHeight="1"/>
    <row r="3267" ht="12" customHeight="1"/>
    <row r="3268" ht="12" customHeight="1"/>
    <row r="3269" ht="12" customHeight="1"/>
    <row r="3270" ht="12" customHeight="1"/>
    <row r="3271" ht="12" customHeight="1"/>
    <row r="3272" ht="12" customHeight="1"/>
    <row r="3273" ht="12" customHeight="1"/>
    <row r="3274" ht="12" customHeight="1"/>
    <row r="3275" ht="12" customHeight="1"/>
    <row r="3276" ht="12" customHeight="1"/>
    <row r="3277" ht="12" customHeight="1"/>
    <row r="3278" ht="12" customHeight="1"/>
    <row r="3279" ht="12" customHeight="1"/>
    <row r="3280" ht="12" customHeight="1"/>
    <row r="3281" ht="12" customHeight="1"/>
    <row r="3282" ht="12" customHeight="1"/>
    <row r="3283" ht="12" customHeight="1"/>
    <row r="3284" ht="12" customHeight="1"/>
    <row r="3285" ht="12" customHeight="1"/>
    <row r="3286" ht="12" customHeight="1"/>
    <row r="3287" ht="12" customHeight="1"/>
    <row r="3288" ht="12" customHeight="1"/>
    <row r="3289" ht="12" customHeight="1"/>
    <row r="3290" ht="12" customHeight="1"/>
    <row r="3291" ht="12" customHeight="1"/>
    <row r="3292" ht="12" customHeight="1"/>
    <row r="3293" ht="12" customHeight="1"/>
    <row r="3294" ht="12" customHeight="1"/>
    <row r="3295" ht="12" customHeight="1"/>
    <row r="3296" ht="12" customHeight="1"/>
    <row r="3297" ht="12" customHeight="1"/>
    <row r="3298" ht="12" customHeight="1"/>
    <row r="3299" ht="12" customHeight="1"/>
    <row r="3300" ht="12" customHeight="1"/>
    <row r="3301" ht="12" customHeight="1"/>
    <row r="3302" ht="12" customHeight="1"/>
    <row r="3303" ht="12" customHeight="1"/>
    <row r="3304" ht="12" customHeight="1"/>
    <row r="3305" ht="12" customHeight="1"/>
    <row r="3306" ht="12" customHeight="1"/>
    <row r="3307" ht="12" customHeight="1"/>
    <row r="3308" ht="12" customHeight="1"/>
    <row r="3309" ht="12" customHeight="1"/>
    <row r="3310" ht="12" customHeight="1"/>
    <row r="3311" ht="12" customHeight="1"/>
    <row r="3312" ht="12" customHeight="1"/>
    <row r="3313" ht="12" customHeight="1"/>
    <row r="3314" ht="12" customHeight="1"/>
    <row r="3315" ht="12" customHeight="1"/>
    <row r="3316" ht="12" customHeight="1"/>
    <row r="3317" ht="12" customHeight="1"/>
    <row r="3318" ht="12" customHeight="1"/>
    <row r="3319" ht="12" customHeight="1"/>
    <row r="3320" ht="12" customHeight="1"/>
    <row r="3321" ht="12" customHeight="1"/>
    <row r="3322" ht="12" customHeight="1"/>
    <row r="3323" ht="12" customHeight="1"/>
    <row r="3324" ht="12" customHeight="1"/>
    <row r="3325" ht="12" customHeight="1"/>
    <row r="3326" ht="12" customHeight="1"/>
    <row r="3327" ht="12" customHeight="1"/>
    <row r="3328" ht="12" customHeight="1"/>
    <row r="3329" ht="12" customHeight="1"/>
    <row r="3330" ht="12" customHeight="1"/>
    <row r="3331" ht="12" customHeight="1"/>
    <row r="3332" ht="12" customHeight="1"/>
    <row r="3333" ht="12" customHeight="1"/>
    <row r="3334" ht="12" customHeight="1"/>
    <row r="3335" ht="12" customHeight="1"/>
    <row r="3336" ht="12" customHeight="1"/>
    <row r="3337" ht="12" customHeight="1"/>
    <row r="3338" ht="12" customHeight="1"/>
    <row r="3339" ht="12" customHeight="1"/>
    <row r="3340" ht="12" customHeight="1"/>
    <row r="3341" ht="12" customHeight="1"/>
    <row r="3342" ht="12" customHeight="1"/>
    <row r="3343" ht="12" customHeight="1"/>
    <row r="3344" ht="12" customHeight="1"/>
    <row r="3345" ht="12" customHeight="1"/>
    <row r="3346" ht="12" customHeight="1"/>
    <row r="3347" ht="12" customHeight="1"/>
    <row r="3348" ht="12" customHeight="1"/>
    <row r="3349" ht="12" customHeight="1"/>
    <row r="3350" ht="12" customHeight="1"/>
    <row r="3351" ht="12" customHeight="1"/>
    <row r="3352" ht="12" customHeight="1"/>
    <row r="3353" ht="12" customHeight="1"/>
    <row r="3354" ht="12" customHeight="1"/>
    <row r="3355" ht="12" customHeight="1"/>
    <row r="3356" ht="12" customHeight="1"/>
    <row r="3357" ht="12" customHeight="1"/>
    <row r="3358" ht="12" customHeight="1"/>
    <row r="3359" ht="12" customHeight="1"/>
    <row r="3360" ht="12" customHeight="1"/>
    <row r="3361" ht="12" customHeight="1"/>
    <row r="3362" ht="12" customHeight="1"/>
    <row r="3363" ht="12" customHeight="1"/>
    <row r="3364" ht="12" customHeight="1"/>
    <row r="3365" ht="12" customHeight="1"/>
    <row r="3366" ht="12" customHeight="1"/>
    <row r="3367" ht="12" customHeight="1"/>
    <row r="3368" ht="12" customHeight="1"/>
    <row r="3369" ht="12" customHeight="1"/>
    <row r="3370" ht="12" customHeight="1"/>
    <row r="3371" ht="12" customHeight="1"/>
    <row r="3372" ht="12" customHeight="1"/>
    <row r="3373" ht="12" customHeight="1"/>
    <row r="3374" ht="12" customHeight="1"/>
    <row r="3375" ht="12" customHeight="1"/>
    <row r="3376" ht="12" customHeight="1"/>
    <row r="3377" ht="12" customHeight="1"/>
    <row r="3378" ht="12" customHeight="1"/>
    <row r="3379" ht="12" customHeight="1"/>
    <row r="3380" ht="12" customHeight="1"/>
    <row r="3381" ht="12" customHeight="1"/>
    <row r="3382" ht="12" customHeight="1"/>
    <row r="3383" ht="12" customHeight="1"/>
    <row r="3384" ht="12" customHeight="1"/>
    <row r="3385" ht="12" customHeight="1"/>
    <row r="3386" ht="12" customHeight="1"/>
    <row r="3387" ht="12" customHeight="1"/>
    <row r="3388" ht="12" customHeight="1"/>
    <row r="3389" ht="12" customHeight="1"/>
    <row r="3390" ht="12" customHeight="1"/>
    <row r="3391" ht="12" customHeight="1"/>
    <row r="3392" ht="12" customHeight="1"/>
    <row r="3393" ht="12" customHeight="1"/>
    <row r="3394" ht="12" customHeight="1"/>
    <row r="3395" ht="12" customHeight="1"/>
    <row r="3396" ht="12" customHeight="1"/>
    <row r="3397" ht="12" customHeight="1"/>
    <row r="3398" ht="12" customHeight="1"/>
    <row r="3399" ht="12" customHeight="1"/>
    <row r="3400" ht="12" customHeight="1"/>
    <row r="3401" ht="12" customHeight="1"/>
    <row r="3402" ht="12" customHeight="1"/>
    <row r="3403" ht="12" customHeight="1"/>
    <row r="3404" ht="12" customHeight="1"/>
    <row r="3405" ht="12" customHeight="1"/>
    <row r="3406" ht="12" customHeight="1"/>
    <row r="3407" ht="12" customHeight="1"/>
    <row r="3408" ht="12" customHeight="1"/>
    <row r="3409" ht="12" customHeight="1"/>
    <row r="3410" ht="12" customHeight="1"/>
    <row r="3411" ht="12" customHeight="1"/>
    <row r="3412" ht="12" customHeight="1"/>
    <row r="3413" ht="12" customHeight="1"/>
    <row r="3414" ht="12" customHeight="1"/>
    <row r="3415" ht="12" customHeight="1"/>
    <row r="3416" ht="12" customHeight="1"/>
    <row r="3417" ht="12" customHeight="1"/>
    <row r="3418" ht="12" customHeight="1"/>
    <row r="3419" ht="12" customHeight="1"/>
    <row r="3420" ht="12" customHeight="1"/>
    <row r="3421" ht="12" customHeight="1"/>
    <row r="3422" ht="12" customHeight="1"/>
    <row r="3423" ht="12" customHeight="1"/>
    <row r="3424" ht="12" customHeight="1"/>
    <row r="3425" ht="12" customHeight="1"/>
    <row r="3426" ht="12" customHeight="1"/>
    <row r="3427" ht="12" customHeight="1"/>
    <row r="3428" ht="12" customHeight="1"/>
    <row r="3429" ht="12" customHeight="1"/>
    <row r="3430" ht="12" customHeight="1"/>
    <row r="3431" ht="12" customHeight="1"/>
    <row r="3432" ht="12" customHeight="1"/>
    <row r="3433" ht="12" customHeight="1"/>
    <row r="3434" ht="12" customHeight="1"/>
    <row r="3435" ht="12" customHeight="1"/>
    <row r="3436" ht="12" customHeight="1"/>
    <row r="3437" ht="12" customHeight="1"/>
    <row r="3438" ht="12" customHeight="1"/>
    <row r="3439" ht="12" customHeight="1"/>
    <row r="3440" ht="12" customHeight="1"/>
    <row r="3441" ht="12" customHeight="1"/>
    <row r="3442" ht="12" customHeight="1"/>
    <row r="3443" ht="12" customHeight="1"/>
    <row r="3444" ht="12" customHeight="1"/>
    <row r="3445" ht="12" customHeight="1"/>
    <row r="3446" ht="12" customHeight="1"/>
    <row r="3447" ht="12" customHeight="1"/>
    <row r="3448" ht="12" customHeight="1"/>
    <row r="3449" ht="12" customHeight="1"/>
    <row r="3450" ht="12" customHeight="1"/>
    <row r="3451" ht="12" customHeight="1"/>
    <row r="3452" ht="12" customHeight="1"/>
    <row r="3453" ht="12" customHeight="1"/>
    <row r="3454" ht="12" customHeight="1"/>
    <row r="3455" ht="12" customHeight="1"/>
    <row r="3456" ht="12" customHeight="1"/>
    <row r="3457" ht="12" customHeight="1"/>
    <row r="3458" ht="12" customHeight="1"/>
    <row r="3459" ht="12" customHeight="1"/>
    <row r="3460" ht="12" customHeight="1"/>
    <row r="3461" ht="12" customHeight="1"/>
    <row r="3462" ht="12" customHeight="1"/>
    <row r="3463" ht="12" customHeight="1"/>
    <row r="3464" ht="12" customHeight="1"/>
    <row r="3465" ht="12" customHeight="1"/>
    <row r="3466" ht="12" customHeight="1"/>
    <row r="3467" ht="12" customHeight="1"/>
    <row r="3468" ht="12" customHeight="1"/>
    <row r="3469" ht="12" customHeight="1"/>
    <row r="3470" ht="12" customHeight="1"/>
    <row r="3471" ht="12" customHeight="1"/>
    <row r="3472" ht="12" customHeight="1"/>
    <row r="3473" ht="12" customHeight="1"/>
    <row r="3474" ht="12" customHeight="1"/>
    <row r="3475" ht="12" customHeight="1"/>
    <row r="3476" ht="12" customHeight="1"/>
    <row r="3477" ht="12" customHeight="1"/>
    <row r="3478" ht="12" customHeight="1"/>
    <row r="3479" ht="12" customHeight="1"/>
    <row r="3480" ht="12" customHeight="1"/>
    <row r="3481" ht="12" customHeight="1"/>
    <row r="3482" ht="12" customHeight="1"/>
    <row r="3483" ht="12" customHeight="1"/>
    <row r="3484" ht="12" customHeight="1"/>
    <row r="3485" ht="12" customHeight="1"/>
    <row r="3486" ht="12" customHeight="1"/>
    <row r="3487" ht="12" customHeight="1"/>
    <row r="3488" ht="12" customHeight="1"/>
    <row r="3489" ht="12" customHeight="1"/>
    <row r="3490" ht="12" customHeight="1"/>
    <row r="3491" ht="12" customHeight="1"/>
    <row r="3492" ht="12" customHeight="1"/>
    <row r="3493" ht="12" customHeight="1"/>
    <row r="3494" ht="12" customHeight="1"/>
    <row r="3495" ht="12" customHeight="1"/>
    <row r="3496" ht="12" customHeight="1"/>
    <row r="3497" ht="12" customHeight="1"/>
    <row r="3498" ht="12" customHeight="1"/>
    <row r="3499" ht="12" customHeight="1"/>
    <row r="3500" ht="12" customHeight="1"/>
    <row r="3501" ht="12" customHeight="1"/>
    <row r="3502" ht="12" customHeight="1"/>
    <row r="3503" ht="12" customHeight="1"/>
    <row r="3504" ht="12" customHeight="1"/>
    <row r="3505" ht="12" customHeight="1"/>
    <row r="3506" ht="12" customHeight="1"/>
    <row r="3507" ht="12" customHeight="1"/>
    <row r="3508" ht="12" customHeight="1"/>
    <row r="3509" ht="12" customHeight="1"/>
    <row r="3510" ht="12" customHeight="1"/>
    <row r="3511" ht="12" customHeight="1"/>
    <row r="3512" ht="12" customHeight="1"/>
    <row r="3513" ht="12" customHeight="1"/>
    <row r="3514" ht="12" customHeight="1"/>
    <row r="3515" ht="12" customHeight="1"/>
    <row r="3516" ht="12" customHeight="1"/>
    <row r="3517" ht="12" customHeight="1"/>
    <row r="3518" ht="12" customHeight="1"/>
    <row r="3519" ht="12" customHeight="1"/>
    <row r="3520" ht="12" customHeight="1"/>
    <row r="3521" ht="12" customHeight="1"/>
    <row r="3522" ht="12" customHeight="1"/>
    <row r="3523" ht="12" customHeight="1"/>
    <row r="3524" ht="12" customHeight="1"/>
    <row r="3525" ht="12" customHeight="1"/>
    <row r="3526" ht="12" customHeight="1"/>
    <row r="3527" ht="12" customHeight="1"/>
    <row r="3528" ht="12" customHeight="1"/>
    <row r="3529" ht="12" customHeight="1"/>
    <row r="3530" ht="12" customHeight="1"/>
    <row r="3531" ht="12" customHeight="1"/>
    <row r="3532" ht="12" customHeight="1"/>
    <row r="3533" ht="12" customHeight="1"/>
    <row r="3534" ht="12" customHeight="1"/>
    <row r="3535" ht="12" customHeight="1"/>
    <row r="3536" ht="12" customHeight="1"/>
    <row r="3537" ht="12" customHeight="1"/>
    <row r="3538" ht="12" customHeight="1"/>
    <row r="3539" ht="12" customHeight="1"/>
    <row r="3540" ht="12" customHeight="1"/>
    <row r="3541" ht="12" customHeight="1"/>
    <row r="3542" ht="12" customHeight="1"/>
    <row r="3543" ht="12" customHeight="1"/>
    <row r="3544" ht="12" customHeight="1"/>
    <row r="3545" ht="12" customHeight="1"/>
    <row r="3546" ht="12" customHeight="1"/>
    <row r="3547" ht="12" customHeight="1"/>
    <row r="3548" ht="12" customHeight="1"/>
    <row r="3549" ht="12" customHeight="1"/>
    <row r="3550" ht="12" customHeight="1"/>
    <row r="3551" ht="12" customHeight="1"/>
    <row r="3552" ht="12" customHeight="1"/>
    <row r="3553" ht="12" customHeight="1"/>
    <row r="3554" ht="12" customHeight="1"/>
    <row r="3555" ht="12" customHeight="1"/>
    <row r="3556" ht="12" customHeight="1"/>
    <row r="3557" ht="12" customHeight="1"/>
    <row r="3558" ht="12" customHeight="1"/>
    <row r="3559" ht="12" customHeight="1"/>
    <row r="3560" ht="12" customHeight="1"/>
    <row r="3561" ht="12" customHeight="1"/>
    <row r="3562" ht="12" customHeight="1"/>
    <row r="3563" ht="12" customHeight="1"/>
    <row r="3564" ht="12" customHeight="1"/>
    <row r="3565" ht="12" customHeight="1"/>
    <row r="3566" ht="12" customHeight="1"/>
    <row r="3567" ht="12" customHeight="1"/>
    <row r="3568" ht="12" customHeight="1"/>
    <row r="3569" ht="12" customHeight="1"/>
    <row r="3570" ht="12" customHeight="1"/>
    <row r="3571" ht="12" customHeight="1"/>
    <row r="3572" ht="12" customHeight="1"/>
    <row r="3573" ht="12" customHeight="1"/>
    <row r="3574" ht="12" customHeight="1"/>
    <row r="3575" ht="12" customHeight="1"/>
    <row r="3576" ht="12" customHeight="1"/>
    <row r="3577" ht="12" customHeight="1"/>
    <row r="3578" ht="12" customHeight="1"/>
    <row r="3579" ht="12" customHeight="1"/>
    <row r="3580" ht="12" customHeight="1"/>
    <row r="3581" ht="12" customHeight="1"/>
    <row r="3582" ht="12" customHeight="1"/>
    <row r="3583" ht="12" customHeight="1"/>
    <row r="3584" ht="12" customHeight="1"/>
    <row r="3585" ht="12" customHeight="1"/>
    <row r="3586" ht="12" customHeight="1"/>
    <row r="3587" ht="12" customHeight="1"/>
    <row r="3588" ht="12" customHeight="1"/>
    <row r="3589" ht="12" customHeight="1"/>
    <row r="3590" ht="12" customHeight="1"/>
    <row r="3591" ht="12" customHeight="1"/>
    <row r="3592" ht="12" customHeight="1"/>
    <row r="3593" ht="12" customHeight="1"/>
    <row r="3594" ht="12" customHeight="1"/>
    <row r="3595" ht="12" customHeight="1"/>
    <row r="3596" ht="12" customHeight="1"/>
    <row r="3597" ht="12" customHeight="1"/>
    <row r="3598" ht="12" customHeight="1"/>
    <row r="3599" ht="12" customHeight="1"/>
    <row r="3600" ht="12" customHeight="1"/>
    <row r="3601" ht="12" customHeight="1"/>
    <row r="3602" ht="12" customHeight="1"/>
    <row r="3603" ht="12" customHeight="1"/>
    <row r="3604" ht="12" customHeight="1"/>
    <row r="3605" ht="12" customHeight="1"/>
    <row r="3606" ht="12" customHeight="1"/>
    <row r="3607" ht="12" customHeight="1"/>
    <row r="3608" ht="12" customHeight="1"/>
    <row r="3609" ht="12" customHeight="1"/>
    <row r="3610" ht="12" customHeight="1"/>
    <row r="3611" ht="12" customHeight="1"/>
    <row r="3612" ht="12" customHeight="1"/>
    <row r="3613" ht="12" customHeight="1"/>
    <row r="3614" ht="12" customHeight="1"/>
    <row r="3615" ht="12" customHeight="1"/>
    <row r="3616" ht="12" customHeight="1"/>
    <row r="3617" ht="12" customHeight="1"/>
    <row r="3618" ht="12" customHeight="1"/>
    <row r="3619" ht="12" customHeight="1"/>
    <row r="3620" ht="12" customHeight="1"/>
    <row r="3621" ht="12" customHeight="1"/>
    <row r="3622" ht="12" customHeight="1"/>
    <row r="3623" ht="12" customHeight="1"/>
    <row r="3624" ht="12" customHeight="1"/>
    <row r="3625" ht="12" customHeight="1"/>
    <row r="3626" ht="12" customHeight="1"/>
    <row r="3627" ht="12" customHeight="1"/>
    <row r="3628" ht="12" customHeight="1"/>
    <row r="3629" ht="12" customHeight="1"/>
    <row r="3630" ht="12" customHeight="1"/>
    <row r="3631" ht="12" customHeight="1"/>
    <row r="3632" ht="12" customHeight="1"/>
    <row r="3633" ht="12" customHeight="1"/>
    <row r="3634" ht="12" customHeight="1"/>
    <row r="3635" ht="12" customHeight="1"/>
    <row r="3636" ht="12" customHeight="1"/>
    <row r="3637" ht="12" customHeight="1"/>
    <row r="3638" ht="12" customHeight="1"/>
    <row r="3639" ht="12" customHeight="1"/>
    <row r="3640" ht="12" customHeight="1"/>
    <row r="3641" ht="12" customHeight="1"/>
    <row r="3642" ht="12" customHeight="1"/>
    <row r="3643" ht="12" customHeight="1"/>
    <row r="3644" ht="12" customHeight="1"/>
    <row r="3645" ht="12" customHeight="1"/>
    <row r="3646" ht="12" customHeight="1"/>
    <row r="3647" ht="12" customHeight="1"/>
    <row r="3648" ht="12" customHeight="1"/>
    <row r="3649" ht="12" customHeight="1"/>
    <row r="3650" ht="12" customHeight="1"/>
    <row r="3651" ht="12" customHeight="1"/>
    <row r="3652" ht="12" customHeight="1"/>
    <row r="3653" ht="12" customHeight="1"/>
    <row r="3654" ht="12" customHeight="1"/>
    <row r="3655" ht="12" customHeight="1"/>
    <row r="3656" ht="12" customHeight="1"/>
    <row r="3657" ht="12" customHeight="1"/>
    <row r="3658" ht="12" customHeight="1"/>
    <row r="3659" ht="12" customHeight="1"/>
    <row r="3660" ht="12" customHeight="1"/>
    <row r="3661" ht="12" customHeight="1"/>
    <row r="3662" ht="12" customHeight="1"/>
    <row r="3663" ht="12" customHeight="1"/>
    <row r="3664" ht="12" customHeight="1"/>
    <row r="3665" ht="12" customHeight="1"/>
    <row r="3666" ht="12" customHeight="1"/>
    <row r="3667" ht="12" customHeight="1"/>
    <row r="3668" ht="12" customHeight="1"/>
    <row r="3669" ht="12" customHeight="1"/>
    <row r="3670" ht="12" customHeight="1"/>
    <row r="3671" ht="12" customHeight="1"/>
    <row r="3672" ht="12" customHeight="1"/>
    <row r="3673" ht="12" customHeight="1"/>
    <row r="3674" ht="12" customHeight="1"/>
    <row r="3675" ht="12" customHeight="1"/>
    <row r="3676" ht="12" customHeight="1"/>
    <row r="3677" ht="12" customHeight="1"/>
    <row r="3678" ht="12" customHeight="1"/>
    <row r="3679" ht="12" customHeight="1"/>
    <row r="3680" ht="12" customHeight="1"/>
    <row r="3681" ht="12" customHeight="1"/>
    <row r="3682" ht="12" customHeight="1"/>
    <row r="3683" ht="12" customHeight="1"/>
    <row r="3684" ht="12" customHeight="1"/>
    <row r="3685" ht="12" customHeight="1"/>
    <row r="3686" ht="12" customHeight="1"/>
    <row r="3687" ht="12" customHeight="1"/>
    <row r="3688" ht="12" customHeight="1"/>
    <row r="3689" ht="12" customHeight="1"/>
    <row r="3690" ht="12" customHeight="1"/>
    <row r="3691" ht="12" customHeight="1"/>
    <row r="3692" ht="12" customHeight="1"/>
    <row r="3693" ht="12" customHeight="1"/>
    <row r="3694" ht="12" customHeight="1"/>
    <row r="3695" ht="12" customHeight="1"/>
    <row r="3696" ht="12" customHeight="1"/>
    <row r="3697" ht="12" customHeight="1"/>
    <row r="3698" ht="12" customHeight="1"/>
    <row r="3699" ht="12" customHeight="1"/>
    <row r="3700" ht="12" customHeight="1"/>
    <row r="3701" ht="12" customHeight="1"/>
    <row r="3702" ht="12" customHeight="1"/>
    <row r="3703" ht="12" customHeight="1"/>
    <row r="3704" ht="12" customHeight="1"/>
    <row r="3705" ht="12" customHeight="1"/>
    <row r="3706" ht="12" customHeight="1"/>
    <row r="3707" ht="12" customHeight="1"/>
    <row r="3708" ht="12" customHeight="1"/>
    <row r="3709" ht="12" customHeight="1"/>
    <row r="3710" ht="12" customHeight="1"/>
    <row r="3711" ht="12" customHeight="1"/>
    <row r="3712" ht="12" customHeight="1"/>
    <row r="3713" ht="12" customHeight="1"/>
    <row r="3714" ht="12" customHeight="1"/>
    <row r="3715" ht="12" customHeight="1"/>
    <row r="3716" ht="12" customHeight="1"/>
    <row r="3717" ht="12" customHeight="1"/>
    <row r="3718" ht="12" customHeight="1"/>
    <row r="3719" ht="12" customHeight="1"/>
    <row r="3720" ht="12" customHeight="1"/>
    <row r="3721" ht="12" customHeight="1"/>
    <row r="3722" ht="12" customHeight="1"/>
    <row r="3723" ht="12" customHeight="1"/>
    <row r="3724" ht="12" customHeight="1"/>
    <row r="3725" ht="12" customHeight="1"/>
    <row r="3726" ht="12" customHeight="1"/>
    <row r="3727" ht="12" customHeight="1"/>
    <row r="3728" ht="12" customHeight="1"/>
    <row r="3729" ht="12" customHeight="1"/>
    <row r="3730" ht="12" customHeight="1"/>
    <row r="3731" ht="12" customHeight="1"/>
    <row r="3732" ht="12" customHeight="1"/>
    <row r="3733" ht="12" customHeight="1"/>
    <row r="3734" ht="12" customHeight="1"/>
    <row r="3735" ht="12" customHeight="1"/>
    <row r="3736" ht="12" customHeight="1"/>
    <row r="3737" ht="12" customHeight="1"/>
    <row r="3738" ht="12" customHeight="1"/>
    <row r="3739" ht="12" customHeight="1"/>
    <row r="3740" ht="12" customHeight="1"/>
    <row r="3741" ht="12" customHeight="1"/>
    <row r="3742" ht="12" customHeight="1"/>
    <row r="3743" ht="12" customHeight="1"/>
    <row r="3744" ht="12" customHeight="1"/>
    <row r="3745" ht="12" customHeight="1"/>
    <row r="3746" ht="12" customHeight="1"/>
    <row r="3747" ht="12" customHeight="1"/>
    <row r="3748" ht="12" customHeight="1"/>
    <row r="3749" ht="12" customHeight="1"/>
    <row r="3750" ht="12" customHeight="1"/>
    <row r="3751" ht="12" customHeight="1"/>
    <row r="3752" ht="12" customHeight="1"/>
    <row r="3753" ht="12" customHeight="1"/>
    <row r="3754" ht="12" customHeight="1"/>
    <row r="3755" ht="12" customHeight="1"/>
    <row r="3756" ht="12" customHeight="1"/>
    <row r="3757" ht="12" customHeight="1"/>
    <row r="3758" ht="12" customHeight="1"/>
    <row r="3759" ht="12" customHeight="1"/>
    <row r="3760" ht="12" customHeight="1"/>
    <row r="3761" ht="12" customHeight="1"/>
    <row r="3762" ht="12" customHeight="1"/>
    <row r="3763" ht="12" customHeight="1"/>
    <row r="3764" ht="12" customHeight="1"/>
    <row r="3765" ht="12" customHeight="1"/>
    <row r="3766" ht="12" customHeight="1"/>
    <row r="3767" ht="12" customHeight="1"/>
    <row r="3768" ht="12" customHeight="1"/>
    <row r="3769" ht="12" customHeight="1"/>
    <row r="3770" ht="12" customHeight="1"/>
    <row r="3771" ht="12" customHeight="1"/>
    <row r="3772" ht="12" customHeight="1"/>
    <row r="3773" ht="12" customHeight="1"/>
    <row r="3774" ht="12" customHeight="1"/>
    <row r="3775" ht="12" customHeight="1"/>
    <row r="3776" ht="12" customHeight="1"/>
    <row r="3777" ht="12" customHeight="1"/>
    <row r="3778" ht="12" customHeight="1"/>
    <row r="3779" ht="12" customHeight="1"/>
    <row r="3780" ht="12" customHeight="1"/>
    <row r="3781" ht="12" customHeight="1"/>
    <row r="3782" ht="12" customHeight="1"/>
    <row r="3783" ht="12" customHeight="1"/>
    <row r="3784" ht="12" customHeight="1"/>
    <row r="3785" ht="12" customHeight="1"/>
    <row r="3786" ht="12" customHeight="1"/>
    <row r="3787" ht="12" customHeight="1"/>
    <row r="3788" ht="12" customHeight="1"/>
    <row r="3789" ht="12" customHeight="1"/>
    <row r="3790" ht="12" customHeight="1"/>
    <row r="3791" ht="12" customHeight="1"/>
    <row r="3792" ht="12" customHeight="1"/>
    <row r="3793" ht="12" customHeight="1"/>
    <row r="3794" ht="12" customHeight="1"/>
    <row r="3795" ht="12" customHeight="1"/>
    <row r="3796" ht="12" customHeight="1"/>
    <row r="3797" ht="12" customHeight="1"/>
    <row r="3798" ht="12" customHeight="1"/>
    <row r="3799" ht="12" customHeight="1"/>
    <row r="3800" ht="12" customHeight="1"/>
    <row r="3801" ht="12" customHeight="1"/>
    <row r="3802" ht="12" customHeight="1"/>
    <row r="3803" ht="12" customHeight="1"/>
    <row r="3804" ht="12" customHeight="1"/>
    <row r="3805" ht="12" customHeight="1"/>
    <row r="3806" ht="12" customHeight="1"/>
    <row r="3807" ht="12" customHeight="1"/>
    <row r="3808" ht="12" customHeight="1"/>
    <row r="3809" ht="12" customHeight="1"/>
    <row r="3810" ht="12" customHeight="1"/>
    <row r="3811" ht="12" customHeight="1"/>
    <row r="3812" ht="12" customHeight="1"/>
    <row r="3813" ht="12" customHeight="1"/>
    <row r="3814" ht="12" customHeight="1"/>
    <row r="3815" ht="12" customHeight="1"/>
    <row r="3816" ht="12" customHeight="1"/>
    <row r="3817" ht="12" customHeight="1"/>
    <row r="3818" ht="12" customHeight="1"/>
    <row r="3819" ht="12" customHeight="1"/>
    <row r="3820" ht="12" customHeight="1"/>
    <row r="3821" ht="12" customHeight="1"/>
    <row r="3822" ht="12" customHeight="1"/>
    <row r="3823" ht="12" customHeight="1"/>
    <row r="3824" ht="12" customHeight="1"/>
    <row r="3825" ht="12" customHeight="1"/>
    <row r="3826" ht="12" customHeight="1"/>
    <row r="3827" ht="12" customHeight="1"/>
    <row r="3828" ht="12" customHeight="1"/>
    <row r="3829" ht="12" customHeight="1"/>
    <row r="3830" ht="12" customHeight="1"/>
    <row r="3831" ht="12" customHeight="1"/>
    <row r="3832" ht="12" customHeight="1"/>
    <row r="3833" ht="12" customHeight="1"/>
    <row r="3834" ht="12" customHeight="1"/>
    <row r="3835" ht="12" customHeight="1"/>
    <row r="3836" ht="12" customHeight="1"/>
    <row r="3837" ht="12" customHeight="1"/>
    <row r="3838" ht="12" customHeight="1"/>
    <row r="3839" ht="12" customHeight="1"/>
    <row r="3840" ht="12" customHeight="1"/>
    <row r="3841" ht="12" customHeight="1"/>
    <row r="3842" ht="12" customHeight="1"/>
    <row r="3843" ht="12" customHeight="1"/>
    <row r="3844" ht="12" customHeight="1"/>
    <row r="3845" ht="12" customHeight="1"/>
    <row r="3846" ht="12" customHeight="1"/>
    <row r="3847" ht="12" customHeight="1"/>
    <row r="3848" ht="12" customHeight="1"/>
    <row r="3849" ht="12" customHeight="1"/>
    <row r="3850" ht="12" customHeight="1"/>
    <row r="3851" ht="12" customHeight="1"/>
    <row r="3852" ht="12" customHeight="1"/>
    <row r="3853" ht="12" customHeight="1"/>
    <row r="3854" ht="12" customHeight="1"/>
    <row r="3855" ht="12" customHeight="1"/>
    <row r="3856" ht="12" customHeight="1"/>
    <row r="3857" ht="12" customHeight="1"/>
    <row r="3858" ht="12" customHeight="1"/>
    <row r="3859" ht="12" customHeight="1"/>
    <row r="3860" ht="12" customHeight="1"/>
    <row r="3861" ht="12" customHeight="1"/>
    <row r="3862" ht="12" customHeight="1"/>
    <row r="3863" ht="12" customHeight="1"/>
    <row r="3864" ht="12" customHeight="1"/>
    <row r="3865" ht="12" customHeight="1"/>
    <row r="3866" ht="12" customHeight="1"/>
    <row r="3867" ht="12" customHeight="1"/>
    <row r="3868" ht="12" customHeight="1"/>
    <row r="3869" ht="12" customHeight="1"/>
    <row r="3870" ht="12" customHeight="1"/>
    <row r="3871" ht="12" customHeight="1"/>
    <row r="3872" ht="12" customHeight="1"/>
    <row r="3873" ht="12" customHeight="1"/>
    <row r="3874" ht="12" customHeight="1"/>
    <row r="3875" ht="12" customHeight="1"/>
    <row r="3876" ht="12" customHeight="1"/>
    <row r="3877" ht="12" customHeight="1"/>
    <row r="3878" ht="12" customHeight="1"/>
    <row r="3879" ht="12" customHeight="1"/>
    <row r="3880" ht="12" customHeight="1"/>
    <row r="3881" ht="12" customHeight="1"/>
    <row r="3882" ht="12" customHeight="1"/>
    <row r="3883" ht="12" customHeight="1"/>
    <row r="3884" ht="12" customHeight="1"/>
    <row r="3885" ht="12" customHeight="1"/>
    <row r="3886" ht="12" customHeight="1"/>
    <row r="3887" ht="12" customHeight="1"/>
    <row r="3888" ht="12" customHeight="1"/>
    <row r="3889" ht="12" customHeight="1"/>
    <row r="3890" ht="12" customHeight="1"/>
    <row r="3891" ht="12" customHeight="1"/>
    <row r="3892" ht="12" customHeight="1"/>
    <row r="3893" ht="12" customHeight="1"/>
    <row r="3894" ht="12" customHeight="1"/>
    <row r="3895" ht="12" customHeight="1"/>
    <row r="3896" ht="12" customHeight="1"/>
    <row r="3897" ht="12" customHeight="1"/>
    <row r="3898" ht="12" customHeight="1"/>
    <row r="3899" ht="12" customHeight="1"/>
    <row r="3900" ht="12" customHeight="1"/>
    <row r="3901" ht="12" customHeight="1"/>
    <row r="3902" ht="12" customHeight="1"/>
    <row r="3903" ht="12" customHeight="1"/>
    <row r="3904" ht="12" customHeight="1"/>
    <row r="3905" ht="12" customHeight="1"/>
    <row r="3906" ht="12" customHeight="1"/>
    <row r="3907" ht="12" customHeight="1"/>
    <row r="3908" ht="12" customHeight="1"/>
    <row r="3909" ht="12" customHeight="1"/>
    <row r="3910" ht="12" customHeight="1"/>
    <row r="3911" ht="12" customHeight="1"/>
    <row r="3912" ht="12" customHeight="1"/>
    <row r="3913" ht="12" customHeight="1"/>
    <row r="3914" ht="12" customHeight="1"/>
    <row r="3915" ht="12" customHeight="1"/>
    <row r="3916" ht="12" customHeight="1"/>
    <row r="3917" ht="12" customHeight="1"/>
    <row r="3918" ht="12" customHeight="1"/>
    <row r="3919" ht="12" customHeight="1"/>
    <row r="3920" ht="12" customHeight="1"/>
    <row r="3921" ht="12" customHeight="1"/>
    <row r="3922" ht="12" customHeight="1"/>
    <row r="3923" ht="12" customHeight="1"/>
    <row r="3924" ht="12" customHeight="1"/>
    <row r="3925" ht="12" customHeight="1"/>
    <row r="3926" ht="12" customHeight="1"/>
    <row r="3927" ht="12" customHeight="1"/>
    <row r="3928" ht="12" customHeight="1"/>
    <row r="3929" ht="12" customHeight="1"/>
    <row r="3930" ht="12" customHeight="1"/>
    <row r="3931" ht="12" customHeight="1"/>
    <row r="3932" ht="12" customHeight="1"/>
    <row r="3933" ht="12" customHeight="1"/>
    <row r="3934" ht="12" customHeight="1"/>
    <row r="3935" ht="12" customHeight="1"/>
    <row r="3936" ht="12" customHeight="1"/>
    <row r="3937" ht="12" customHeight="1"/>
    <row r="3938" ht="12" customHeight="1"/>
    <row r="3939" ht="12" customHeight="1"/>
    <row r="3940" ht="12" customHeight="1"/>
    <row r="3941" ht="12" customHeight="1"/>
    <row r="3942" ht="12" customHeight="1"/>
    <row r="3943" ht="12" customHeight="1"/>
    <row r="3944" ht="12" customHeight="1"/>
    <row r="3945" ht="12" customHeight="1"/>
    <row r="3946" ht="12" customHeight="1"/>
    <row r="3947" ht="12" customHeight="1"/>
    <row r="3948" ht="12" customHeight="1"/>
    <row r="3949" ht="12" customHeight="1"/>
    <row r="3950" ht="12" customHeight="1"/>
    <row r="3951" ht="12" customHeight="1"/>
    <row r="3952" ht="12" customHeight="1"/>
    <row r="3953" ht="12" customHeight="1"/>
    <row r="3954" ht="12" customHeight="1"/>
    <row r="3955" ht="12" customHeight="1"/>
    <row r="3956" ht="12" customHeight="1"/>
    <row r="3957" ht="12" customHeight="1"/>
    <row r="3958" ht="12" customHeight="1"/>
    <row r="3959" ht="12" customHeight="1"/>
    <row r="3960" ht="12" customHeight="1"/>
    <row r="3961" ht="12" customHeight="1"/>
    <row r="3962" ht="12" customHeight="1"/>
    <row r="3963" ht="12" customHeight="1"/>
    <row r="3964" ht="12" customHeight="1"/>
    <row r="3965" ht="12" customHeight="1"/>
    <row r="3966" ht="12" customHeight="1"/>
    <row r="3967" ht="12" customHeight="1"/>
    <row r="3968" ht="12" customHeight="1"/>
    <row r="3969" ht="12" customHeight="1"/>
    <row r="3970" ht="12" customHeight="1"/>
    <row r="3971" ht="12" customHeight="1"/>
    <row r="3972" ht="12" customHeight="1"/>
    <row r="3973" ht="12" customHeight="1"/>
    <row r="3974" ht="12" customHeight="1"/>
    <row r="3975" ht="12" customHeight="1"/>
    <row r="3976" ht="12" customHeight="1"/>
    <row r="3977" ht="12" customHeight="1"/>
    <row r="3978" ht="12" customHeight="1"/>
    <row r="3979" ht="12" customHeight="1"/>
    <row r="3980" ht="12" customHeight="1"/>
    <row r="3981" ht="12" customHeight="1"/>
    <row r="3982" ht="12" customHeight="1"/>
    <row r="3983" ht="12" customHeight="1"/>
    <row r="3984" ht="12" customHeight="1"/>
    <row r="3985" ht="12" customHeight="1"/>
    <row r="3986" ht="12" customHeight="1"/>
    <row r="3987" ht="12" customHeight="1"/>
    <row r="3988" ht="12" customHeight="1"/>
    <row r="3989" ht="12" customHeight="1"/>
    <row r="3990" ht="12" customHeight="1"/>
    <row r="3991" ht="12" customHeight="1"/>
    <row r="3992" ht="12" customHeight="1"/>
    <row r="3993" ht="12" customHeight="1"/>
    <row r="3994" ht="12" customHeight="1"/>
    <row r="3995" ht="12" customHeight="1"/>
    <row r="3996" ht="12" customHeight="1"/>
    <row r="3997" ht="12" customHeight="1"/>
    <row r="3998" ht="12" customHeight="1"/>
    <row r="3999" ht="12" customHeight="1"/>
    <row r="4000" ht="12" customHeight="1"/>
    <row r="4001" ht="12" customHeight="1"/>
    <row r="4002" ht="12" customHeight="1"/>
    <row r="4003" ht="12" customHeight="1"/>
    <row r="4004" ht="12" customHeight="1"/>
    <row r="4005" ht="12" customHeight="1"/>
    <row r="4006" ht="12" customHeight="1"/>
    <row r="4007" ht="12" customHeight="1"/>
    <row r="4008" ht="12" customHeight="1"/>
    <row r="4009" ht="12" customHeight="1"/>
    <row r="4010" ht="12" customHeight="1"/>
    <row r="4011" ht="12" customHeight="1"/>
    <row r="4012" ht="12" customHeight="1"/>
    <row r="4013" ht="12" customHeight="1"/>
    <row r="4014" ht="12" customHeight="1"/>
    <row r="4015" ht="12" customHeight="1"/>
    <row r="4016" ht="12" customHeight="1"/>
    <row r="4017" ht="12" customHeight="1"/>
    <row r="4018" ht="12" customHeight="1"/>
    <row r="4019" ht="12" customHeight="1"/>
    <row r="4020" ht="12" customHeight="1"/>
    <row r="4021" ht="12" customHeight="1"/>
    <row r="4022" ht="12" customHeight="1"/>
    <row r="4023" ht="12" customHeight="1"/>
    <row r="4024" ht="12" customHeight="1"/>
    <row r="4025" ht="12" customHeight="1"/>
    <row r="4026" ht="12" customHeight="1"/>
    <row r="4027" ht="12" customHeight="1"/>
    <row r="4028" ht="12" customHeight="1"/>
    <row r="4029" ht="12" customHeight="1"/>
    <row r="4030" ht="12" customHeight="1"/>
    <row r="4031" ht="12" customHeight="1"/>
    <row r="4032" ht="12" customHeight="1"/>
    <row r="4033" ht="12" customHeight="1"/>
    <row r="4034" ht="12" customHeight="1"/>
    <row r="4035" ht="12" customHeight="1"/>
    <row r="4036" ht="12" customHeight="1"/>
    <row r="4037" ht="12" customHeight="1"/>
    <row r="4038" ht="12" customHeight="1"/>
    <row r="4039" ht="12" customHeight="1"/>
    <row r="4040" ht="12" customHeight="1"/>
    <row r="4041" ht="12" customHeight="1"/>
    <row r="4042" ht="12" customHeight="1"/>
    <row r="4043" ht="12" customHeight="1"/>
    <row r="4044" ht="12" customHeight="1"/>
    <row r="4045" ht="12" customHeight="1"/>
    <row r="4046" ht="12" customHeight="1"/>
    <row r="4047" ht="12" customHeight="1"/>
    <row r="4048" ht="12" customHeight="1"/>
    <row r="4049" ht="12" customHeight="1"/>
    <row r="4050" ht="12" customHeight="1"/>
    <row r="4051" ht="12" customHeight="1"/>
    <row r="4052" ht="12" customHeight="1"/>
    <row r="4053" ht="12" customHeight="1"/>
    <row r="4054" ht="12" customHeight="1"/>
    <row r="4055" ht="12" customHeight="1"/>
    <row r="4056" ht="12" customHeight="1"/>
    <row r="4057" ht="12" customHeight="1"/>
    <row r="4058" ht="12" customHeight="1"/>
    <row r="4059" ht="12" customHeight="1"/>
    <row r="4060" ht="12" customHeight="1"/>
    <row r="4061" ht="12" customHeight="1"/>
    <row r="4062" ht="12" customHeight="1"/>
    <row r="4063" ht="12" customHeight="1"/>
    <row r="4064" ht="12" customHeight="1"/>
    <row r="4065" ht="12" customHeight="1"/>
    <row r="4066" ht="12" customHeight="1"/>
    <row r="4067" ht="12" customHeight="1"/>
    <row r="4068" ht="12" customHeight="1"/>
    <row r="4069" ht="12" customHeight="1"/>
    <row r="4070" ht="12" customHeight="1"/>
    <row r="4071" ht="12" customHeight="1"/>
    <row r="4072" ht="12" customHeight="1"/>
    <row r="4073" ht="12" customHeight="1"/>
    <row r="4074" ht="12" customHeight="1"/>
    <row r="4075" ht="12" customHeight="1"/>
    <row r="4076" ht="12" customHeight="1"/>
    <row r="4077" ht="12" customHeight="1"/>
    <row r="4078" ht="12" customHeight="1"/>
    <row r="4079" ht="12" customHeight="1"/>
    <row r="4080" ht="12" customHeight="1"/>
    <row r="4081" ht="12" customHeight="1"/>
    <row r="4082" ht="12" customHeight="1"/>
    <row r="4083" ht="12" customHeight="1"/>
    <row r="4084" ht="12" customHeight="1"/>
    <row r="4085" ht="12" customHeight="1"/>
    <row r="4086" ht="12" customHeight="1"/>
    <row r="4087" ht="12" customHeight="1"/>
    <row r="4088" ht="12" customHeight="1"/>
    <row r="4089" ht="12" customHeight="1"/>
    <row r="4090" ht="12" customHeight="1"/>
    <row r="4091" ht="12" customHeight="1"/>
    <row r="4092" ht="12" customHeight="1"/>
    <row r="4093" ht="12" customHeight="1"/>
    <row r="4094" ht="12" customHeight="1"/>
    <row r="4095" ht="12" customHeight="1"/>
    <row r="4096" ht="12" customHeight="1"/>
    <row r="4097" ht="12" customHeight="1"/>
    <row r="4098" ht="12" customHeight="1"/>
    <row r="4099" ht="12" customHeight="1"/>
    <row r="4100" ht="12" customHeight="1"/>
    <row r="4101" ht="12" customHeight="1"/>
    <row r="4102" ht="12" customHeight="1"/>
    <row r="4103" ht="12" customHeight="1"/>
    <row r="4104" ht="12" customHeight="1"/>
    <row r="4105" ht="12" customHeight="1"/>
    <row r="4106" ht="12" customHeight="1"/>
    <row r="4107" ht="12" customHeight="1"/>
    <row r="4108" ht="12" customHeight="1"/>
    <row r="4109" ht="12" customHeight="1"/>
    <row r="4110" ht="12" customHeight="1"/>
    <row r="4111" ht="12" customHeight="1"/>
    <row r="4112" ht="12" customHeight="1"/>
    <row r="4113" ht="12" customHeight="1"/>
    <row r="4114" ht="12" customHeight="1"/>
    <row r="4115" ht="12" customHeight="1"/>
    <row r="4116" ht="12" customHeight="1"/>
    <row r="4117" ht="12" customHeight="1"/>
    <row r="4118" ht="12" customHeight="1"/>
    <row r="4119" ht="12" customHeight="1"/>
    <row r="4120" ht="12" customHeight="1"/>
    <row r="4121" ht="12" customHeight="1"/>
    <row r="4122" ht="12" customHeight="1"/>
    <row r="4123" ht="12" customHeight="1"/>
    <row r="4124" ht="12" customHeight="1"/>
    <row r="4125" ht="12" customHeight="1"/>
    <row r="4126" ht="12" customHeight="1"/>
    <row r="4127" ht="12" customHeight="1"/>
    <row r="4128" ht="12" customHeight="1"/>
    <row r="4129" ht="12" customHeight="1"/>
    <row r="4130" ht="12" customHeight="1"/>
    <row r="4131" ht="12" customHeight="1"/>
    <row r="4132" ht="12" customHeight="1"/>
    <row r="4133" ht="12" customHeight="1"/>
    <row r="4134" ht="12" customHeight="1"/>
    <row r="4135" ht="12" customHeight="1"/>
    <row r="4136" ht="12" customHeight="1"/>
    <row r="4137" ht="12" customHeight="1"/>
    <row r="4138" ht="12" customHeight="1"/>
    <row r="4139" ht="12" customHeight="1"/>
    <row r="4140" ht="12" customHeight="1"/>
    <row r="4141" ht="12" customHeight="1"/>
    <row r="4142" ht="12" customHeight="1"/>
    <row r="4143" ht="12" customHeight="1"/>
    <row r="4144" ht="12" customHeight="1"/>
    <row r="4145" ht="12" customHeight="1"/>
    <row r="4146" ht="12" customHeight="1"/>
    <row r="4147" ht="12" customHeight="1"/>
    <row r="4148" ht="12" customHeight="1"/>
    <row r="4149" ht="12" customHeight="1"/>
    <row r="4150" ht="12" customHeight="1"/>
    <row r="4151" ht="12" customHeight="1"/>
    <row r="4152" ht="12" customHeight="1"/>
    <row r="4153" ht="12" customHeight="1"/>
    <row r="4154" ht="12" customHeight="1"/>
    <row r="4155" ht="12" customHeight="1"/>
    <row r="4156" ht="12" customHeight="1"/>
    <row r="4157" ht="12" customHeight="1"/>
    <row r="4158" ht="12" customHeight="1"/>
    <row r="4159" ht="12" customHeight="1"/>
    <row r="4160" ht="12" customHeight="1"/>
    <row r="4161" ht="12" customHeight="1"/>
    <row r="4162" ht="12" customHeight="1"/>
    <row r="4163" ht="12" customHeight="1"/>
    <row r="4164" ht="12" customHeight="1"/>
    <row r="4165" ht="12" customHeight="1"/>
    <row r="4166" ht="12" customHeight="1"/>
    <row r="4167" ht="12" customHeight="1"/>
    <row r="4168" ht="12" customHeight="1"/>
    <row r="4169" ht="12" customHeight="1"/>
    <row r="4170" ht="12" customHeight="1"/>
    <row r="4171" ht="12" customHeight="1"/>
    <row r="4172" ht="12" customHeight="1"/>
    <row r="4173" ht="12" customHeight="1"/>
    <row r="4174" ht="12" customHeight="1"/>
    <row r="4175" ht="12" customHeight="1"/>
    <row r="4176" ht="12" customHeight="1"/>
    <row r="4177" ht="12" customHeight="1"/>
    <row r="4178" ht="12" customHeight="1"/>
    <row r="4179" ht="12" customHeight="1"/>
    <row r="4180" ht="12" customHeight="1"/>
    <row r="4181" ht="12" customHeight="1"/>
    <row r="4182" ht="12" customHeight="1"/>
    <row r="4183" ht="12" customHeight="1"/>
    <row r="4184" ht="12" customHeight="1"/>
    <row r="4185" ht="12" customHeight="1"/>
    <row r="4186" ht="12" customHeight="1"/>
    <row r="4187" ht="12" customHeight="1"/>
    <row r="4188" ht="12" customHeight="1"/>
    <row r="4189" ht="12" customHeight="1"/>
    <row r="4190" ht="12" customHeight="1"/>
    <row r="4191" ht="12" customHeight="1"/>
    <row r="4192" ht="12" customHeight="1"/>
    <row r="4193" ht="12" customHeight="1"/>
    <row r="4194" ht="12" customHeight="1"/>
    <row r="4195" ht="12" customHeight="1"/>
    <row r="4196" ht="12" customHeight="1"/>
    <row r="4197" ht="12" customHeight="1"/>
    <row r="4198" ht="12" customHeight="1"/>
    <row r="4199" ht="12" customHeight="1"/>
    <row r="4200" ht="12" customHeight="1"/>
    <row r="4201" ht="12" customHeight="1"/>
    <row r="4202" ht="12" customHeight="1"/>
    <row r="4203" ht="12" customHeight="1"/>
    <row r="4204" ht="12" customHeight="1"/>
    <row r="4205" ht="12" customHeight="1"/>
    <row r="4206" ht="12" customHeight="1"/>
    <row r="4207" ht="12" customHeight="1"/>
    <row r="4208" ht="12" customHeight="1"/>
    <row r="4209" ht="12" customHeight="1"/>
    <row r="4210" ht="12" customHeight="1"/>
    <row r="4211" ht="12" customHeight="1"/>
    <row r="4212" ht="12" customHeight="1"/>
    <row r="4213" ht="12" customHeight="1"/>
    <row r="4214" ht="12" customHeight="1"/>
    <row r="4215" ht="12" customHeight="1"/>
    <row r="4216" ht="12" customHeight="1"/>
    <row r="4217" ht="12" customHeight="1"/>
    <row r="4218" ht="12" customHeight="1"/>
    <row r="4219" ht="12" customHeight="1"/>
    <row r="4220" ht="12" customHeight="1"/>
    <row r="4221" ht="12" customHeight="1"/>
    <row r="4222" ht="12" customHeight="1"/>
    <row r="4223" ht="12" customHeight="1"/>
    <row r="4224" ht="12" customHeight="1"/>
    <row r="4225" ht="12" customHeight="1"/>
    <row r="4226" ht="12" customHeight="1"/>
    <row r="4227" ht="12" customHeight="1"/>
    <row r="4228" ht="12" customHeight="1"/>
    <row r="4229" ht="12" customHeight="1"/>
    <row r="4230" ht="12" customHeight="1"/>
    <row r="4231" ht="12" customHeight="1"/>
    <row r="4232" ht="12" customHeight="1"/>
    <row r="4233" ht="12" customHeight="1"/>
    <row r="4234" ht="12" customHeight="1"/>
    <row r="4235" ht="12" customHeight="1"/>
    <row r="4236" ht="12" customHeight="1"/>
    <row r="4237" ht="12" customHeight="1"/>
    <row r="4238" ht="12" customHeight="1"/>
    <row r="4239" ht="12" customHeight="1"/>
    <row r="4240" ht="12" customHeight="1"/>
    <row r="4241" ht="12" customHeight="1"/>
    <row r="4242" ht="12" customHeight="1"/>
    <row r="4243" ht="12" customHeight="1"/>
    <row r="4244" ht="12" customHeight="1"/>
    <row r="4245" ht="12" customHeight="1"/>
    <row r="4246" ht="12" customHeight="1"/>
    <row r="4247" ht="12" customHeight="1"/>
    <row r="4248" ht="12" customHeight="1"/>
    <row r="4249" ht="12" customHeight="1"/>
    <row r="4250" ht="12" customHeight="1"/>
    <row r="4251" ht="12" customHeight="1"/>
    <row r="4252" ht="12" customHeight="1"/>
    <row r="4253" ht="12" customHeight="1"/>
    <row r="4254" ht="12" customHeight="1"/>
    <row r="4255" ht="12" customHeight="1"/>
    <row r="4256" ht="12" customHeight="1"/>
    <row r="4257" ht="12" customHeight="1"/>
    <row r="4258" ht="12" customHeight="1"/>
    <row r="4259" ht="12" customHeight="1"/>
    <row r="4260" ht="12" customHeight="1"/>
    <row r="4261" ht="12" customHeight="1"/>
    <row r="4262" ht="12" customHeight="1"/>
    <row r="4263" ht="12" customHeight="1"/>
    <row r="4264" ht="12" customHeight="1"/>
    <row r="4265" ht="12" customHeight="1"/>
    <row r="4266" ht="12" customHeight="1"/>
    <row r="4267" ht="12" customHeight="1"/>
    <row r="4268" ht="12" customHeight="1"/>
    <row r="4269" ht="12" customHeight="1"/>
    <row r="4270" ht="12" customHeight="1"/>
    <row r="4271" ht="12" customHeight="1"/>
    <row r="4272" ht="12" customHeight="1"/>
    <row r="4273" ht="12" customHeight="1"/>
    <row r="4274" ht="12" customHeight="1"/>
    <row r="4275" ht="12" customHeight="1"/>
    <row r="4276" ht="12" customHeight="1"/>
    <row r="4277" ht="12" customHeight="1"/>
    <row r="4278" ht="12" customHeight="1"/>
    <row r="4279" ht="12" customHeight="1"/>
    <row r="4280" ht="12" customHeight="1"/>
    <row r="4281" ht="12" customHeight="1"/>
    <row r="4282" ht="12" customHeight="1"/>
    <row r="4283" ht="12" customHeight="1"/>
    <row r="4284" ht="12" customHeight="1"/>
    <row r="4285" ht="12" customHeight="1"/>
    <row r="4286" ht="12" customHeight="1"/>
    <row r="4287" ht="12" customHeight="1"/>
    <row r="4288" ht="12" customHeight="1"/>
    <row r="4289" ht="12" customHeight="1"/>
    <row r="4290" ht="12" customHeight="1"/>
    <row r="4291" ht="12" customHeight="1"/>
    <row r="4292" ht="12" customHeight="1"/>
    <row r="4293" ht="12" customHeight="1"/>
    <row r="4294" ht="12" customHeight="1"/>
    <row r="4295" ht="12" customHeight="1"/>
    <row r="4296" ht="12" customHeight="1"/>
    <row r="4297" ht="12" customHeight="1"/>
    <row r="4298" ht="12" customHeight="1"/>
    <row r="4299" ht="12" customHeight="1"/>
    <row r="4300" ht="12" customHeight="1"/>
    <row r="4301" ht="12" customHeight="1"/>
    <row r="4302" ht="12" customHeight="1"/>
    <row r="4303" ht="12" customHeight="1"/>
    <row r="4304" ht="12" customHeight="1"/>
    <row r="4305" ht="12" customHeight="1"/>
    <row r="4306" ht="12" customHeight="1"/>
    <row r="4307" ht="12" customHeight="1"/>
    <row r="4308" ht="12" customHeight="1"/>
    <row r="4309" ht="12" customHeight="1"/>
    <row r="4310" ht="12" customHeight="1"/>
    <row r="4311" ht="12" customHeight="1"/>
    <row r="4312" ht="12" customHeight="1"/>
    <row r="4313" ht="12" customHeight="1"/>
    <row r="4314" ht="12" customHeight="1"/>
    <row r="4315" ht="12" customHeight="1"/>
    <row r="4316" ht="12" customHeight="1"/>
    <row r="4317" ht="12" customHeight="1"/>
    <row r="4318" ht="12" customHeight="1"/>
    <row r="4319" ht="12" customHeight="1"/>
    <row r="4320" ht="12" customHeight="1"/>
    <row r="4321" ht="12" customHeight="1"/>
    <row r="4322" ht="12" customHeight="1"/>
    <row r="4323" ht="12" customHeight="1"/>
    <row r="4324" ht="12" customHeight="1"/>
    <row r="4325" ht="12" customHeight="1"/>
    <row r="4326" ht="12" customHeight="1"/>
    <row r="4327" ht="12" customHeight="1"/>
    <row r="4328" ht="12" customHeight="1"/>
    <row r="4329" ht="12" customHeight="1"/>
    <row r="4330" ht="12" customHeight="1"/>
    <row r="4331" ht="12" customHeight="1"/>
    <row r="4332" ht="12" customHeight="1"/>
    <row r="4333" ht="12" customHeight="1"/>
    <row r="4334" ht="12" customHeight="1"/>
    <row r="4335" ht="12" customHeight="1"/>
    <row r="4336" ht="12" customHeight="1"/>
    <row r="4337" ht="12" customHeight="1"/>
    <row r="4338" ht="12" customHeight="1"/>
    <row r="4339" ht="12" customHeight="1"/>
    <row r="4340" ht="12" customHeight="1"/>
    <row r="4341" ht="12" customHeight="1"/>
    <row r="4342" ht="12" customHeight="1"/>
    <row r="4343" ht="12" customHeight="1"/>
    <row r="4344" ht="12" customHeight="1"/>
    <row r="4345" ht="12" customHeight="1"/>
    <row r="4346" ht="12" customHeight="1"/>
    <row r="4347" ht="12" customHeight="1"/>
    <row r="4348" ht="12" customHeight="1"/>
    <row r="4349" ht="12" customHeight="1"/>
    <row r="4350" ht="12" customHeight="1"/>
    <row r="4351" ht="12" customHeight="1"/>
    <row r="4352" ht="12" customHeight="1"/>
    <row r="4353" ht="12" customHeight="1"/>
    <row r="4354" ht="12" customHeight="1"/>
    <row r="4355" ht="12" customHeight="1"/>
    <row r="4356" ht="12" customHeight="1"/>
    <row r="4357" ht="12" customHeight="1"/>
    <row r="4358" ht="12" customHeight="1"/>
    <row r="4359" ht="12" customHeight="1"/>
    <row r="4360" ht="12" customHeight="1"/>
    <row r="4361" ht="12" customHeight="1"/>
    <row r="4362" ht="12" customHeight="1"/>
    <row r="4363" ht="12" customHeight="1"/>
    <row r="4364" ht="12" customHeight="1"/>
    <row r="4365" ht="12" customHeight="1"/>
    <row r="4366" ht="12" customHeight="1"/>
    <row r="4367" ht="12" customHeight="1"/>
    <row r="4368" ht="12" customHeight="1"/>
    <row r="4369" ht="12" customHeight="1"/>
    <row r="4370" ht="12" customHeight="1"/>
    <row r="4371" ht="12" customHeight="1"/>
    <row r="4372" ht="12" customHeight="1"/>
    <row r="4373" ht="12" customHeight="1"/>
    <row r="4374" ht="12" customHeight="1"/>
    <row r="4375" ht="12" customHeight="1"/>
    <row r="4376" ht="12" customHeight="1"/>
    <row r="4377" ht="12" customHeight="1"/>
    <row r="4378" ht="12" customHeight="1"/>
    <row r="4379" ht="12" customHeight="1"/>
    <row r="4380" ht="12" customHeight="1"/>
    <row r="4381" ht="12" customHeight="1"/>
    <row r="4382" ht="12" customHeight="1"/>
    <row r="4383" ht="12" customHeight="1"/>
    <row r="4384" ht="12" customHeight="1"/>
    <row r="4385" ht="12" customHeight="1"/>
    <row r="4386" ht="12" customHeight="1"/>
    <row r="4387" ht="12" customHeight="1"/>
    <row r="4388" ht="12" customHeight="1"/>
    <row r="4389" ht="12" customHeight="1"/>
    <row r="4390" ht="12" customHeight="1"/>
    <row r="4391" ht="12" customHeight="1"/>
    <row r="4392" ht="12" customHeight="1"/>
    <row r="4393" ht="12" customHeight="1"/>
    <row r="4394" ht="12" customHeight="1"/>
    <row r="4395" ht="12" customHeight="1"/>
    <row r="4396" ht="12" customHeight="1"/>
    <row r="4397" ht="12" customHeight="1"/>
    <row r="4398" ht="12" customHeight="1"/>
    <row r="4399" ht="12" customHeight="1"/>
    <row r="4400" ht="12" customHeight="1"/>
    <row r="4401" ht="12" customHeight="1"/>
    <row r="4402" ht="12" customHeight="1"/>
    <row r="4403" ht="12" customHeight="1"/>
    <row r="4404" ht="12" customHeight="1"/>
    <row r="4405" ht="12" customHeight="1"/>
    <row r="4406" ht="12" customHeight="1"/>
    <row r="4407" ht="12" customHeight="1"/>
    <row r="4408" ht="12" customHeight="1"/>
    <row r="4409" ht="12" customHeight="1"/>
    <row r="4410" ht="12" customHeight="1"/>
    <row r="4411" ht="12" customHeight="1"/>
    <row r="4412" ht="12" customHeight="1"/>
    <row r="4413" ht="12" customHeight="1"/>
    <row r="4414" ht="12" customHeight="1"/>
    <row r="4415" ht="12" customHeight="1"/>
    <row r="4416" ht="12" customHeight="1"/>
    <row r="4417" ht="12" customHeight="1"/>
    <row r="4418" ht="12" customHeight="1"/>
    <row r="4419" ht="12" customHeight="1"/>
    <row r="4420" ht="12" customHeight="1"/>
    <row r="4421" ht="12" customHeight="1"/>
    <row r="4422" ht="12" customHeight="1"/>
    <row r="4423" ht="12" customHeight="1"/>
    <row r="4424" ht="12" customHeight="1"/>
    <row r="4425" ht="12" customHeight="1"/>
    <row r="4426" ht="12" customHeight="1"/>
    <row r="4427" ht="12" customHeight="1"/>
    <row r="4428" ht="12" customHeight="1"/>
    <row r="4429" ht="12" customHeight="1"/>
    <row r="4430" ht="12" customHeight="1"/>
    <row r="4431" ht="12" customHeight="1"/>
    <row r="4432" ht="12" customHeight="1"/>
    <row r="4433" ht="12" customHeight="1"/>
    <row r="4434" ht="12" customHeight="1"/>
    <row r="4435" ht="12" customHeight="1"/>
    <row r="4436" ht="12" customHeight="1"/>
    <row r="4437" ht="12" customHeight="1"/>
    <row r="4438" ht="12" customHeight="1"/>
    <row r="4439" ht="12" customHeight="1"/>
    <row r="4440" ht="12" customHeight="1"/>
    <row r="4441" ht="12" customHeight="1"/>
    <row r="4442" ht="12" customHeight="1"/>
    <row r="4443" ht="12" customHeight="1"/>
    <row r="4444" ht="12" customHeight="1"/>
    <row r="4445" ht="12" customHeight="1"/>
    <row r="4446" ht="12" customHeight="1"/>
    <row r="4447" ht="12" customHeight="1"/>
    <row r="4448" ht="12" customHeight="1"/>
    <row r="4449" ht="12" customHeight="1"/>
    <row r="4450" ht="12" customHeight="1"/>
    <row r="4451" ht="12" customHeight="1"/>
    <row r="4452" ht="12" customHeight="1"/>
    <row r="4453" ht="12" customHeight="1"/>
    <row r="4454" ht="12" customHeight="1"/>
    <row r="4455" ht="12" customHeight="1"/>
    <row r="4456" ht="12" customHeight="1"/>
    <row r="4457" ht="12" customHeight="1"/>
    <row r="4458" ht="12" customHeight="1"/>
    <row r="4459" ht="12" customHeight="1"/>
    <row r="4460" ht="12" customHeight="1"/>
    <row r="4461" ht="12" customHeight="1"/>
    <row r="4462" ht="12" customHeight="1"/>
    <row r="4463" ht="12" customHeight="1"/>
    <row r="4464" ht="12" customHeight="1"/>
    <row r="4465" ht="12" customHeight="1"/>
    <row r="4466" ht="12" customHeight="1"/>
    <row r="4467" ht="12" customHeight="1"/>
    <row r="4468" ht="12" customHeight="1"/>
    <row r="4469" ht="12" customHeight="1"/>
    <row r="4470" ht="12" customHeight="1"/>
    <row r="4471" ht="12" customHeight="1"/>
    <row r="4472" ht="12" customHeight="1"/>
    <row r="4473" ht="12" customHeight="1"/>
    <row r="4474" ht="12" customHeight="1"/>
    <row r="4475" ht="12" customHeight="1"/>
    <row r="4476" ht="12" customHeight="1"/>
    <row r="4477" ht="12" customHeight="1"/>
    <row r="4478" ht="12" customHeight="1"/>
    <row r="4479" ht="12" customHeight="1"/>
    <row r="4480" ht="12" customHeight="1"/>
    <row r="4481" ht="12" customHeight="1"/>
    <row r="4482" ht="12" customHeight="1"/>
    <row r="4483" ht="12" customHeight="1"/>
    <row r="4484" ht="12" customHeight="1"/>
    <row r="4485" ht="12" customHeight="1"/>
    <row r="4486" ht="12" customHeight="1"/>
    <row r="4487" ht="12" customHeight="1"/>
    <row r="4488" ht="12" customHeight="1"/>
    <row r="4489" ht="12" customHeight="1"/>
    <row r="4490" ht="12" customHeight="1"/>
    <row r="4491" ht="12" customHeight="1"/>
    <row r="4492" ht="12" customHeight="1"/>
    <row r="4493" ht="12" customHeight="1"/>
    <row r="4494" ht="12" customHeight="1"/>
    <row r="4495" ht="12" customHeight="1"/>
    <row r="4496" ht="12" customHeight="1"/>
    <row r="4497" ht="12" customHeight="1"/>
    <row r="4498" ht="12" customHeight="1"/>
    <row r="4499" ht="12" customHeight="1"/>
    <row r="4500" ht="12" customHeight="1"/>
    <row r="4501" ht="12" customHeight="1"/>
    <row r="4502" ht="12" customHeight="1"/>
    <row r="4503" ht="12" customHeight="1"/>
    <row r="4504" ht="12" customHeight="1"/>
    <row r="4505" ht="12" customHeight="1"/>
    <row r="4506" ht="12" customHeight="1"/>
    <row r="4507" ht="12" customHeight="1"/>
    <row r="4508" ht="12" customHeight="1"/>
    <row r="4509" ht="12" customHeight="1"/>
    <row r="4510" ht="12" customHeight="1"/>
    <row r="4511" ht="12" customHeight="1"/>
    <row r="4512" ht="12" customHeight="1"/>
    <row r="4513" ht="12" customHeight="1"/>
    <row r="4514" ht="12" customHeight="1"/>
    <row r="4515" ht="12" customHeight="1"/>
    <row r="4516" ht="12" customHeight="1"/>
    <row r="4517" ht="12" customHeight="1"/>
    <row r="4518" ht="12" customHeight="1"/>
    <row r="4519" ht="12" customHeight="1"/>
    <row r="4520" ht="12" customHeight="1"/>
    <row r="4521" ht="12" customHeight="1"/>
    <row r="4522" ht="12" customHeight="1"/>
    <row r="4523" ht="12" customHeight="1"/>
    <row r="4524" ht="12" customHeight="1"/>
    <row r="4525" ht="12" customHeight="1"/>
    <row r="4526" ht="12" customHeight="1"/>
    <row r="4527" ht="12" customHeight="1"/>
    <row r="4528" ht="12" customHeight="1"/>
    <row r="4529" ht="12" customHeight="1"/>
    <row r="4530" ht="12" customHeight="1"/>
    <row r="4531" ht="12" customHeight="1"/>
    <row r="4532" ht="12" customHeight="1"/>
    <row r="4533" ht="12" customHeight="1"/>
    <row r="4534" ht="12" customHeight="1"/>
    <row r="4535" ht="12" customHeight="1"/>
    <row r="4536" ht="12" customHeight="1"/>
    <row r="4537" ht="12" customHeight="1"/>
    <row r="4538" ht="12" customHeight="1"/>
    <row r="4539" ht="12" customHeight="1"/>
    <row r="4540" ht="12" customHeight="1"/>
    <row r="4541" ht="12" customHeight="1"/>
    <row r="4542" ht="12" customHeight="1"/>
    <row r="4543" ht="12" customHeight="1"/>
    <row r="4544" ht="12" customHeight="1"/>
    <row r="4545" ht="12" customHeight="1"/>
    <row r="4546" ht="12" customHeight="1"/>
    <row r="4547" ht="12" customHeight="1"/>
    <row r="4548" ht="12" customHeight="1"/>
    <row r="4549" ht="12" customHeight="1"/>
    <row r="4550" ht="12" customHeight="1"/>
    <row r="4551" ht="12" customHeight="1"/>
    <row r="4552" ht="12" customHeight="1"/>
    <row r="4553" ht="12" customHeight="1"/>
    <row r="4554" ht="12" customHeight="1"/>
    <row r="4555" ht="12" customHeight="1"/>
    <row r="4556" ht="12" customHeight="1"/>
    <row r="4557" ht="12" customHeight="1"/>
    <row r="4558" ht="12" customHeight="1"/>
    <row r="4559" ht="12" customHeight="1"/>
    <row r="4560" ht="12" customHeight="1"/>
    <row r="4561" ht="12" customHeight="1"/>
    <row r="4562" ht="12" customHeight="1"/>
    <row r="4563" ht="12" customHeight="1"/>
    <row r="4564" ht="12" customHeight="1"/>
    <row r="4565" ht="12" customHeight="1"/>
    <row r="4566" ht="12" customHeight="1"/>
    <row r="4567" ht="12" customHeight="1"/>
    <row r="4568" ht="12" customHeight="1"/>
    <row r="4569" ht="12" customHeight="1"/>
    <row r="4570" ht="12" customHeight="1"/>
    <row r="4571" ht="12" customHeight="1"/>
    <row r="4572" ht="12" customHeight="1"/>
    <row r="4573" ht="12" customHeight="1"/>
    <row r="4574" ht="12" customHeight="1"/>
    <row r="4575" ht="12" customHeight="1"/>
    <row r="4576" ht="12" customHeight="1"/>
    <row r="4577" ht="12" customHeight="1"/>
    <row r="4578" ht="12" customHeight="1"/>
    <row r="4579" ht="12" customHeight="1"/>
    <row r="4580" ht="12" customHeight="1"/>
    <row r="4581" ht="12" customHeight="1"/>
    <row r="4582" ht="12" customHeight="1"/>
    <row r="4583" ht="12" customHeight="1"/>
    <row r="4584" ht="12" customHeight="1"/>
    <row r="4585" ht="12" customHeight="1"/>
    <row r="4586" ht="12" customHeight="1"/>
    <row r="4587" ht="12" customHeight="1"/>
    <row r="4588" ht="12" customHeight="1"/>
    <row r="4589" ht="12" customHeight="1"/>
    <row r="4590" ht="12" customHeight="1"/>
    <row r="4591" ht="12" customHeight="1"/>
    <row r="4592" ht="12" customHeight="1"/>
    <row r="4593" ht="12" customHeight="1"/>
    <row r="4594" ht="12" customHeight="1"/>
    <row r="4595" ht="12" customHeight="1"/>
    <row r="4596" ht="12" customHeight="1"/>
    <row r="4597" ht="12" customHeight="1"/>
    <row r="4598" ht="12" customHeight="1"/>
    <row r="4599" ht="12" customHeight="1"/>
    <row r="4600" ht="12" customHeight="1"/>
    <row r="4601" ht="12" customHeight="1"/>
    <row r="4602" ht="12" customHeight="1"/>
    <row r="4603" ht="12" customHeight="1"/>
    <row r="4604" ht="12" customHeight="1"/>
    <row r="4605" ht="12" customHeight="1"/>
    <row r="4606" ht="12" customHeight="1"/>
    <row r="4607" ht="12" customHeight="1"/>
    <row r="4608" ht="12" customHeight="1"/>
    <row r="4609" ht="12" customHeight="1"/>
    <row r="4610" ht="12" customHeight="1"/>
    <row r="4611" ht="12" customHeight="1"/>
    <row r="4612" ht="12" customHeight="1"/>
    <row r="4613" ht="12" customHeight="1"/>
    <row r="4614" ht="12" customHeight="1"/>
    <row r="4615" ht="12" customHeight="1"/>
    <row r="4616" ht="12" customHeight="1"/>
    <row r="4617" ht="12" customHeight="1"/>
    <row r="4618" ht="12" customHeight="1"/>
    <row r="4619" ht="12" customHeight="1"/>
    <row r="4620" ht="12" customHeight="1"/>
    <row r="4621" ht="12" customHeight="1"/>
    <row r="4622" ht="12" customHeight="1"/>
    <row r="4623" ht="12" customHeight="1"/>
    <row r="4624" ht="12" customHeight="1"/>
    <row r="4625" ht="12" customHeight="1"/>
    <row r="4626" ht="12" customHeight="1"/>
    <row r="4627" ht="12" customHeight="1"/>
    <row r="4628" ht="12" customHeight="1"/>
    <row r="4629" ht="12" customHeight="1"/>
    <row r="4630" ht="12" customHeight="1"/>
    <row r="4631" ht="12" customHeight="1"/>
    <row r="4632" ht="12" customHeight="1"/>
    <row r="4633" ht="12" customHeight="1"/>
    <row r="4634" ht="12" customHeight="1"/>
    <row r="4635" ht="12" customHeight="1"/>
    <row r="4636" ht="12" customHeight="1"/>
    <row r="4637" ht="12" customHeight="1"/>
    <row r="4638" ht="12" customHeight="1"/>
    <row r="4639" ht="12" customHeight="1"/>
    <row r="4640" ht="12" customHeight="1"/>
    <row r="4641" ht="12" customHeight="1"/>
    <row r="4642" ht="12" customHeight="1"/>
    <row r="4643" ht="12" customHeight="1"/>
    <row r="4644" ht="12" customHeight="1"/>
    <row r="4645" ht="12" customHeight="1"/>
    <row r="4646" ht="12" customHeight="1"/>
    <row r="4647" ht="12" customHeight="1"/>
    <row r="4648" ht="12" customHeight="1"/>
    <row r="4649" ht="12" customHeight="1"/>
    <row r="4650" ht="12" customHeight="1"/>
    <row r="4651" ht="12" customHeight="1"/>
    <row r="4652" ht="12" customHeight="1"/>
    <row r="4653" ht="12" customHeight="1"/>
    <row r="4654" ht="12" customHeight="1"/>
    <row r="4655" ht="12" customHeight="1"/>
    <row r="4656" ht="12" customHeight="1"/>
    <row r="4657" ht="12" customHeight="1"/>
    <row r="4658" ht="12" customHeight="1"/>
    <row r="4659" ht="12" customHeight="1"/>
    <row r="4660" ht="12" customHeight="1"/>
    <row r="4661" ht="12" customHeight="1"/>
    <row r="4662" ht="12" customHeight="1"/>
    <row r="4663" ht="12" customHeight="1"/>
    <row r="4664" ht="12" customHeight="1"/>
    <row r="4665" ht="12" customHeight="1"/>
    <row r="4666" ht="12" customHeight="1"/>
    <row r="4667" ht="12" customHeight="1"/>
    <row r="4668" ht="12" customHeight="1"/>
    <row r="4669" ht="12" customHeight="1"/>
    <row r="4670" ht="12" customHeight="1"/>
    <row r="4671" ht="12" customHeight="1"/>
    <row r="4672" ht="12" customHeight="1"/>
    <row r="4673" ht="12" customHeight="1"/>
    <row r="4674" ht="12" customHeight="1"/>
    <row r="4675" ht="12" customHeight="1"/>
    <row r="4676" ht="12" customHeight="1"/>
    <row r="4677" ht="12" customHeight="1"/>
    <row r="4678" ht="12" customHeight="1"/>
    <row r="4679" ht="12" customHeight="1"/>
    <row r="4680" ht="12" customHeight="1"/>
    <row r="4681" ht="12" customHeight="1"/>
    <row r="4682" ht="12" customHeight="1"/>
    <row r="4683" ht="12" customHeight="1"/>
    <row r="4684" ht="12" customHeight="1"/>
    <row r="4685" ht="12" customHeight="1"/>
    <row r="4686" ht="12" customHeight="1"/>
    <row r="4687" ht="12" customHeight="1"/>
    <row r="4688" ht="12" customHeight="1"/>
    <row r="4689" ht="12" customHeight="1"/>
    <row r="4690" ht="12" customHeight="1"/>
    <row r="4691" ht="12" customHeight="1"/>
    <row r="4692" ht="12" customHeight="1"/>
    <row r="4693" ht="12" customHeight="1"/>
    <row r="4694" ht="12" customHeight="1"/>
    <row r="4695" ht="12" customHeight="1"/>
    <row r="4696" ht="12" customHeight="1"/>
    <row r="4697" ht="12" customHeight="1"/>
    <row r="4698" ht="12" customHeight="1"/>
    <row r="4699" ht="12" customHeight="1"/>
    <row r="4700" ht="12" customHeight="1"/>
    <row r="4701" ht="12" customHeight="1"/>
    <row r="4702" ht="12" customHeight="1"/>
    <row r="4703" ht="12" customHeight="1"/>
    <row r="4704" ht="12" customHeight="1"/>
    <row r="4705" ht="12" customHeight="1"/>
    <row r="4706" ht="12" customHeight="1"/>
    <row r="4707" ht="12" customHeight="1"/>
    <row r="4708" ht="12" customHeight="1"/>
    <row r="4709" ht="12" customHeight="1"/>
    <row r="4710" ht="12" customHeight="1"/>
    <row r="4711" ht="12" customHeight="1"/>
    <row r="4712" ht="12" customHeight="1"/>
    <row r="4713" ht="12" customHeight="1"/>
    <row r="4714" ht="12" customHeight="1"/>
    <row r="4715" ht="12" customHeight="1"/>
    <row r="4716" ht="12" customHeight="1"/>
    <row r="4717" ht="12" customHeight="1"/>
    <row r="4718" ht="12" customHeight="1"/>
    <row r="4719" ht="12" customHeight="1"/>
    <row r="4720" ht="12" customHeight="1"/>
    <row r="4721" ht="12" customHeight="1"/>
    <row r="4722" ht="12" customHeight="1"/>
    <row r="4723" ht="12" customHeight="1"/>
    <row r="4724" ht="12" customHeight="1"/>
    <row r="4725" ht="12" customHeight="1"/>
    <row r="4726" ht="12" customHeight="1"/>
    <row r="4727" ht="12" customHeight="1"/>
    <row r="4728" ht="12" customHeight="1"/>
    <row r="4729" ht="12" customHeight="1"/>
    <row r="4730" ht="12" customHeight="1"/>
    <row r="4731" ht="12" customHeight="1"/>
    <row r="4732" ht="12" customHeight="1"/>
    <row r="4733" ht="12" customHeight="1"/>
    <row r="4734" ht="12" customHeight="1"/>
    <row r="4735" ht="12" customHeight="1"/>
    <row r="4736" ht="12" customHeight="1"/>
    <row r="4737" ht="12" customHeight="1"/>
    <row r="4738" ht="12" customHeight="1"/>
    <row r="4739" ht="12" customHeight="1"/>
    <row r="4740" ht="12" customHeight="1"/>
    <row r="4741" ht="12" customHeight="1"/>
    <row r="4742" ht="12" customHeight="1"/>
    <row r="4743" ht="12" customHeight="1"/>
    <row r="4744" ht="12" customHeight="1"/>
    <row r="4745" ht="12" customHeight="1"/>
    <row r="4746" ht="12" customHeight="1"/>
    <row r="4747" ht="12" customHeight="1"/>
    <row r="4748" ht="12" customHeight="1"/>
    <row r="4749" ht="12" customHeight="1"/>
    <row r="4750" ht="12" customHeight="1"/>
    <row r="4751" ht="12" customHeight="1"/>
    <row r="4752" ht="12" customHeight="1"/>
    <row r="4753" ht="12" customHeight="1"/>
    <row r="4754" ht="12" customHeight="1"/>
    <row r="4755" ht="12" customHeight="1"/>
    <row r="4756" ht="12" customHeight="1"/>
    <row r="4757" ht="12" customHeight="1"/>
    <row r="4758" ht="12" customHeight="1"/>
    <row r="4759" ht="12" customHeight="1"/>
    <row r="4760" ht="12" customHeight="1"/>
    <row r="4761" ht="12" customHeight="1"/>
    <row r="4762" ht="12" customHeight="1"/>
    <row r="4763" ht="12" customHeight="1"/>
    <row r="4764" ht="12" customHeight="1"/>
    <row r="4765" ht="12" customHeight="1"/>
    <row r="4766" ht="12" customHeight="1"/>
    <row r="4767" ht="12" customHeight="1"/>
    <row r="4768" ht="12" customHeight="1"/>
    <row r="4769" ht="12" customHeight="1"/>
    <row r="4770" ht="12" customHeight="1"/>
    <row r="4771" ht="12" customHeight="1"/>
    <row r="4772" ht="12" customHeight="1"/>
    <row r="4773" ht="12" customHeight="1"/>
    <row r="4774" ht="12" customHeight="1"/>
    <row r="4775" ht="12" customHeight="1"/>
    <row r="4776" ht="12" customHeight="1"/>
    <row r="4777" ht="12" customHeight="1"/>
    <row r="4778" ht="12" customHeight="1"/>
    <row r="4779" ht="12" customHeight="1"/>
    <row r="4780" ht="12" customHeight="1"/>
    <row r="4781" ht="12" customHeight="1"/>
    <row r="4782" ht="12" customHeight="1"/>
    <row r="4783" ht="12" customHeight="1"/>
    <row r="4784" ht="12" customHeight="1"/>
    <row r="4785" ht="12" customHeight="1"/>
    <row r="4786" ht="12" customHeight="1"/>
    <row r="4787" ht="12" customHeight="1"/>
    <row r="4788" ht="12" customHeight="1"/>
    <row r="4789" ht="12" customHeight="1"/>
    <row r="4790" ht="12" customHeight="1"/>
    <row r="4791" ht="12" customHeight="1"/>
    <row r="4792" ht="12" customHeight="1"/>
    <row r="4793" ht="12" customHeight="1"/>
    <row r="4794" ht="12" customHeight="1"/>
    <row r="4795" ht="12" customHeight="1"/>
    <row r="4796" ht="12" customHeight="1"/>
    <row r="4797" ht="12" customHeight="1"/>
    <row r="4798" ht="12" customHeight="1"/>
    <row r="4799" ht="12" customHeight="1"/>
    <row r="4800" ht="12" customHeight="1"/>
    <row r="4801" ht="12" customHeight="1"/>
    <row r="4802" ht="12" customHeight="1"/>
    <row r="4803" ht="12" customHeight="1"/>
    <row r="4804" ht="12" customHeight="1"/>
    <row r="4805" ht="12" customHeight="1"/>
    <row r="4806" ht="12" customHeight="1"/>
    <row r="4807" ht="12" customHeight="1"/>
    <row r="4808" ht="12" customHeight="1"/>
    <row r="4809" ht="12" customHeight="1"/>
    <row r="4810" ht="12" customHeight="1"/>
    <row r="4811" ht="12" customHeight="1"/>
    <row r="4812" ht="12" customHeight="1"/>
    <row r="4813" ht="12" customHeight="1"/>
    <row r="4814" ht="12" customHeight="1"/>
    <row r="4815" ht="12" customHeight="1"/>
    <row r="4816" ht="12" customHeight="1"/>
    <row r="4817" ht="12" customHeight="1"/>
    <row r="4818" ht="12" customHeight="1"/>
    <row r="4819" ht="12" customHeight="1"/>
    <row r="4820" ht="12" customHeight="1"/>
    <row r="4821" ht="12" customHeight="1"/>
    <row r="4822" ht="12" customHeight="1"/>
    <row r="4823" ht="12" customHeight="1"/>
    <row r="4824" ht="12" customHeight="1"/>
    <row r="4825" ht="12" customHeight="1"/>
    <row r="4826" ht="12" customHeight="1"/>
    <row r="4827" ht="12" customHeight="1"/>
    <row r="4828" ht="12" customHeight="1"/>
    <row r="4829" ht="12" customHeight="1"/>
    <row r="4830" ht="12" customHeight="1"/>
    <row r="4831" ht="12" customHeight="1"/>
    <row r="4832" ht="12" customHeight="1"/>
    <row r="4833" ht="12" customHeight="1"/>
    <row r="4834" ht="12" customHeight="1"/>
    <row r="4835" ht="12" customHeight="1"/>
    <row r="4836" ht="12" customHeight="1"/>
    <row r="4837" ht="12" customHeight="1"/>
    <row r="4838" ht="12" customHeight="1"/>
    <row r="4839" ht="12" customHeight="1"/>
    <row r="4840" ht="12" customHeight="1"/>
    <row r="4841" ht="12" customHeight="1"/>
    <row r="4842" ht="12" customHeight="1"/>
    <row r="4843" ht="12" customHeight="1"/>
    <row r="4844" ht="12" customHeight="1"/>
    <row r="4845" ht="12" customHeight="1"/>
    <row r="4846" ht="12" customHeight="1"/>
    <row r="4847" ht="12" customHeight="1"/>
    <row r="4848" ht="12" customHeight="1"/>
    <row r="4849" ht="12" customHeight="1"/>
    <row r="4850" ht="12" customHeight="1"/>
    <row r="4851" ht="12" customHeight="1"/>
    <row r="4852" ht="12" customHeight="1"/>
    <row r="4853" ht="12" customHeight="1"/>
    <row r="4854" ht="12" customHeight="1"/>
    <row r="4855" ht="12" customHeight="1"/>
    <row r="4856" ht="12" customHeight="1"/>
    <row r="4857" ht="12" customHeight="1"/>
    <row r="4858" ht="12" customHeight="1"/>
    <row r="4859" ht="12" customHeight="1"/>
    <row r="4860" ht="12" customHeight="1"/>
    <row r="4861" ht="12" customHeight="1"/>
    <row r="4862" ht="12" customHeight="1"/>
    <row r="4863" ht="12" customHeight="1"/>
    <row r="4864" ht="12" customHeight="1"/>
    <row r="4865" ht="12" customHeight="1"/>
    <row r="4866" ht="12" customHeight="1"/>
    <row r="4867" ht="12" customHeight="1"/>
    <row r="4868" ht="12" customHeight="1"/>
    <row r="4869" ht="12" customHeight="1"/>
    <row r="4870" ht="12" customHeight="1"/>
    <row r="4871" ht="12" customHeight="1"/>
    <row r="4872" ht="12" customHeight="1"/>
    <row r="4873" ht="12" customHeight="1"/>
    <row r="4874" ht="12" customHeight="1"/>
    <row r="4875" ht="12" customHeight="1"/>
    <row r="4876" ht="12" customHeight="1"/>
    <row r="4877" ht="12" customHeight="1"/>
    <row r="4878" ht="12" customHeight="1"/>
    <row r="4879" ht="12" customHeight="1"/>
    <row r="4880" ht="12" customHeight="1"/>
    <row r="4881" ht="12" customHeight="1"/>
    <row r="4882" ht="12" customHeight="1"/>
    <row r="4883" ht="12" customHeight="1"/>
    <row r="4884" ht="12" customHeight="1"/>
    <row r="4885" ht="12" customHeight="1"/>
    <row r="4886" ht="12" customHeight="1"/>
    <row r="4887" ht="12" customHeight="1"/>
    <row r="4888" ht="12" customHeight="1"/>
    <row r="4889" ht="12" customHeight="1"/>
    <row r="4890" ht="12" customHeight="1"/>
    <row r="4891" ht="12" customHeight="1"/>
    <row r="4892" ht="12" customHeight="1"/>
    <row r="4893" ht="12" customHeight="1"/>
    <row r="4894" ht="12" customHeight="1"/>
    <row r="4895" ht="12" customHeight="1"/>
    <row r="4896" ht="12" customHeight="1"/>
    <row r="4897" ht="12" customHeight="1"/>
    <row r="4898" ht="12" customHeight="1"/>
    <row r="4899" ht="12" customHeight="1"/>
    <row r="4900" ht="12" customHeight="1"/>
    <row r="4901" ht="12" customHeight="1"/>
    <row r="4902" ht="12" customHeight="1"/>
    <row r="4903" ht="12" customHeight="1"/>
    <row r="4904" ht="12" customHeight="1"/>
    <row r="4905" ht="12" customHeight="1"/>
    <row r="4906" ht="12" customHeight="1"/>
    <row r="4907" ht="12" customHeight="1"/>
    <row r="4908" ht="12" customHeight="1"/>
    <row r="4909" ht="12" customHeight="1"/>
    <row r="4910" ht="12" customHeight="1"/>
    <row r="4911" ht="12" customHeight="1"/>
    <row r="4912" ht="12" customHeight="1"/>
    <row r="4913" ht="12" customHeight="1"/>
    <row r="4914" ht="12" customHeight="1"/>
    <row r="4915" ht="12" customHeight="1"/>
    <row r="4916" ht="12" customHeight="1"/>
    <row r="4917" ht="12" customHeight="1"/>
    <row r="4918" ht="12" customHeight="1"/>
    <row r="4919" ht="12" customHeight="1"/>
    <row r="4920" ht="12" customHeight="1"/>
    <row r="4921" ht="12" customHeight="1"/>
    <row r="4922" ht="12" customHeight="1"/>
    <row r="4923" ht="12" customHeight="1"/>
    <row r="4924" ht="12" customHeight="1"/>
    <row r="4925" ht="12" customHeight="1"/>
    <row r="4926" ht="12" customHeight="1"/>
    <row r="4927" ht="12" customHeight="1"/>
    <row r="4928" ht="12" customHeight="1"/>
    <row r="4929" ht="12" customHeight="1"/>
    <row r="4930" ht="12" customHeight="1"/>
    <row r="4931" ht="12" customHeight="1"/>
    <row r="4932" ht="12" customHeight="1"/>
    <row r="4933" ht="12" customHeight="1"/>
    <row r="4934" ht="12" customHeight="1"/>
    <row r="4935" ht="12" customHeight="1"/>
    <row r="4936" ht="12" customHeight="1"/>
    <row r="4937" ht="12" customHeight="1"/>
    <row r="4938" ht="12" customHeight="1"/>
    <row r="4939" ht="12" customHeight="1"/>
    <row r="4940" ht="12" customHeight="1"/>
    <row r="4941" ht="12" customHeight="1"/>
    <row r="4942" ht="12" customHeight="1"/>
    <row r="4943" ht="12" customHeight="1"/>
    <row r="4944" ht="12" customHeight="1"/>
    <row r="4945" ht="12" customHeight="1"/>
    <row r="4946" ht="12" customHeight="1"/>
    <row r="4947" ht="12" customHeight="1"/>
    <row r="4948" ht="12" customHeight="1"/>
    <row r="4949" ht="12" customHeight="1"/>
    <row r="4950" ht="12" customHeight="1"/>
    <row r="4951" ht="12" customHeight="1"/>
    <row r="4952" ht="12" customHeight="1"/>
    <row r="4953" ht="12" customHeight="1"/>
    <row r="4954" ht="12" customHeight="1"/>
    <row r="4955" ht="12" customHeight="1"/>
    <row r="4956" ht="12" customHeight="1"/>
    <row r="4957" ht="12" customHeight="1"/>
    <row r="4958" ht="12" customHeight="1"/>
    <row r="4959" ht="12" customHeight="1"/>
    <row r="4960" ht="12" customHeight="1"/>
    <row r="4961" ht="12" customHeight="1"/>
    <row r="4962" ht="12" customHeight="1"/>
    <row r="4963" ht="12" customHeight="1"/>
    <row r="4964" ht="12" customHeight="1"/>
    <row r="4965" ht="12" customHeight="1"/>
    <row r="4966" ht="12" customHeight="1"/>
    <row r="4967" ht="12" customHeight="1"/>
    <row r="4968" ht="12" customHeight="1"/>
    <row r="4969" ht="12" customHeight="1"/>
    <row r="4970" ht="12" customHeight="1"/>
    <row r="4971" ht="12" customHeight="1"/>
    <row r="4972" ht="12" customHeight="1"/>
    <row r="4973" ht="12" customHeight="1"/>
    <row r="4974" ht="12" customHeight="1"/>
    <row r="4975" ht="12" customHeight="1"/>
    <row r="4976" ht="12" customHeight="1"/>
    <row r="4977" ht="12" customHeight="1"/>
    <row r="4978" ht="12" customHeight="1"/>
    <row r="4979" ht="12" customHeight="1"/>
    <row r="4980" ht="12" customHeight="1"/>
    <row r="4981" ht="12" customHeight="1"/>
    <row r="4982" ht="12" customHeight="1"/>
    <row r="4983" ht="12" customHeight="1"/>
    <row r="4984" ht="12" customHeight="1"/>
    <row r="4985" ht="12" customHeight="1"/>
    <row r="4986" ht="12" customHeight="1"/>
    <row r="4987" ht="12" customHeight="1"/>
    <row r="4988" ht="12" customHeight="1"/>
    <row r="4989" ht="12" customHeight="1"/>
    <row r="4990" ht="12" customHeight="1"/>
    <row r="4991" ht="12" customHeight="1"/>
    <row r="4992" ht="12" customHeight="1"/>
    <row r="4993" ht="12" customHeight="1"/>
    <row r="4994" ht="12" customHeight="1"/>
    <row r="4995" ht="12" customHeight="1"/>
    <row r="4996" ht="12" customHeight="1"/>
    <row r="4997" ht="12" customHeight="1"/>
    <row r="4998" ht="12" customHeight="1"/>
    <row r="4999" ht="12" customHeight="1"/>
    <row r="5000" ht="12" customHeight="1"/>
    <row r="5001" ht="12" customHeight="1"/>
    <row r="5002" ht="12" customHeight="1"/>
    <row r="5003" ht="12" customHeight="1"/>
    <row r="5004" ht="12" customHeight="1"/>
    <row r="5005" ht="12" customHeight="1"/>
    <row r="5006" ht="12" customHeight="1"/>
    <row r="5007" ht="12" customHeight="1"/>
    <row r="5008" ht="12" customHeight="1"/>
    <row r="5009" ht="12" customHeight="1"/>
    <row r="5010" ht="12" customHeight="1"/>
    <row r="5011" ht="12" customHeight="1"/>
    <row r="5012" ht="12" customHeight="1"/>
    <row r="5013" ht="12" customHeight="1"/>
    <row r="5014" ht="12" customHeight="1"/>
    <row r="5015" ht="12" customHeight="1"/>
    <row r="5016" ht="12" customHeight="1"/>
    <row r="5017" ht="12" customHeight="1"/>
    <row r="5018" ht="12" customHeight="1"/>
    <row r="5019" ht="12" customHeight="1"/>
    <row r="5020" ht="12" customHeight="1"/>
    <row r="5021" ht="12" customHeight="1"/>
    <row r="5022" ht="12" customHeight="1"/>
    <row r="5023" ht="12" customHeight="1"/>
    <row r="5024" ht="12" customHeight="1"/>
    <row r="5025" ht="12" customHeight="1"/>
    <row r="5026" ht="12" customHeight="1"/>
    <row r="5027" ht="12" customHeight="1"/>
    <row r="5028" ht="12" customHeight="1"/>
    <row r="5029" ht="12" customHeight="1"/>
    <row r="5030" ht="12" customHeight="1"/>
    <row r="5031" ht="12" customHeight="1"/>
    <row r="5032" ht="12" customHeight="1"/>
    <row r="5033" ht="12" customHeight="1"/>
    <row r="5034" ht="12" customHeight="1"/>
    <row r="5035" ht="12" customHeight="1"/>
    <row r="5036" ht="12" customHeight="1"/>
    <row r="5037" ht="12" customHeight="1"/>
    <row r="5038" ht="12" customHeight="1"/>
    <row r="5039" ht="12" customHeight="1"/>
    <row r="5040" ht="12" customHeight="1"/>
    <row r="5041" ht="12" customHeight="1"/>
    <row r="5042" ht="12" customHeight="1"/>
    <row r="5043" ht="12" customHeight="1"/>
    <row r="5044" ht="12" customHeight="1"/>
    <row r="5045" ht="12" customHeight="1"/>
    <row r="5046" ht="12" customHeight="1"/>
    <row r="5047" ht="12" customHeight="1"/>
    <row r="5048" ht="12" customHeight="1"/>
    <row r="5049" ht="12" customHeight="1"/>
    <row r="5050" ht="12" customHeight="1"/>
    <row r="5051" ht="12" customHeight="1"/>
    <row r="5052" ht="12" customHeight="1"/>
    <row r="5053" ht="12" customHeight="1"/>
    <row r="5054" ht="12" customHeight="1"/>
    <row r="5055" ht="12" customHeight="1"/>
    <row r="5056" ht="12" customHeight="1"/>
    <row r="5057" ht="12" customHeight="1"/>
    <row r="5058" ht="12" customHeight="1"/>
    <row r="5059" ht="12" customHeight="1"/>
    <row r="5060" ht="12" customHeight="1"/>
    <row r="5061" ht="12" customHeight="1"/>
    <row r="5062" ht="12" customHeight="1"/>
    <row r="5063" ht="12" customHeight="1"/>
    <row r="5064" ht="12" customHeight="1"/>
    <row r="5065" ht="12" customHeight="1"/>
    <row r="5066" ht="12" customHeight="1"/>
    <row r="5067" ht="12" customHeight="1"/>
    <row r="5068" ht="12" customHeight="1"/>
    <row r="5069" ht="12" customHeight="1"/>
    <row r="5070" ht="12" customHeight="1"/>
    <row r="5071" ht="12" customHeight="1"/>
    <row r="5072" ht="12" customHeight="1"/>
    <row r="5073" ht="12" customHeight="1"/>
    <row r="5074" ht="12" customHeight="1"/>
    <row r="5075" ht="12" customHeight="1"/>
    <row r="5076" ht="12" customHeight="1"/>
    <row r="5077" ht="12" customHeight="1"/>
    <row r="5078" ht="12" customHeight="1"/>
    <row r="5079" ht="12" customHeight="1"/>
    <row r="5080" ht="12" customHeight="1"/>
    <row r="5081" ht="12" customHeight="1"/>
    <row r="5082" ht="12" customHeight="1"/>
    <row r="5083" ht="12" customHeight="1"/>
    <row r="5084" ht="12" customHeight="1"/>
    <row r="5085" ht="12" customHeight="1"/>
    <row r="5086" ht="12" customHeight="1"/>
    <row r="5087" ht="12" customHeight="1"/>
    <row r="5088" ht="12" customHeight="1"/>
    <row r="5089" ht="12" customHeight="1"/>
    <row r="5090" ht="12" customHeight="1"/>
    <row r="5091" ht="12" customHeight="1"/>
    <row r="5092" ht="12" customHeight="1"/>
    <row r="5093" ht="12" customHeight="1"/>
    <row r="5094" ht="12" customHeight="1"/>
    <row r="5095" ht="12" customHeight="1"/>
    <row r="5096" ht="12" customHeight="1"/>
    <row r="5097" ht="12" customHeight="1"/>
    <row r="5098" ht="12" customHeight="1"/>
    <row r="5099" ht="12" customHeight="1"/>
    <row r="5100" ht="12" customHeight="1"/>
    <row r="5101" ht="12" customHeight="1"/>
    <row r="5102" ht="12" customHeight="1"/>
    <row r="5103" ht="12" customHeight="1"/>
    <row r="5104" ht="12" customHeight="1"/>
    <row r="5105" ht="12" customHeight="1"/>
    <row r="5106" ht="12" customHeight="1"/>
    <row r="5107" ht="12" customHeight="1"/>
    <row r="5108" ht="12" customHeight="1"/>
    <row r="5109" ht="12" customHeight="1"/>
    <row r="5110" ht="12" customHeight="1"/>
    <row r="5111" ht="12" customHeight="1"/>
    <row r="5112" ht="12" customHeight="1"/>
    <row r="5113" ht="12" customHeight="1"/>
    <row r="5114" ht="12" customHeight="1"/>
    <row r="5115" ht="12" customHeight="1"/>
    <row r="5116" ht="12" customHeight="1"/>
    <row r="5117" ht="12" customHeight="1"/>
    <row r="5118" ht="12" customHeight="1"/>
    <row r="5119" ht="12" customHeight="1"/>
    <row r="5120" ht="12" customHeight="1"/>
    <row r="5121" ht="12" customHeight="1"/>
    <row r="5122" ht="12" customHeight="1"/>
    <row r="5123" ht="12" customHeight="1"/>
    <row r="5124" ht="12" customHeight="1"/>
    <row r="5125" ht="12" customHeight="1"/>
    <row r="5126" ht="12" customHeight="1"/>
    <row r="5127" ht="12" customHeight="1"/>
    <row r="5128" ht="12" customHeight="1"/>
    <row r="5129" ht="12" customHeight="1"/>
    <row r="5130" ht="12" customHeight="1"/>
    <row r="5131" ht="12" customHeight="1"/>
    <row r="5132" ht="12" customHeight="1"/>
    <row r="5133" ht="12" customHeight="1"/>
    <row r="5134" ht="12" customHeight="1"/>
    <row r="5135" ht="12" customHeight="1"/>
    <row r="5136" ht="12" customHeight="1"/>
    <row r="5137" ht="12" customHeight="1"/>
    <row r="5138" ht="12" customHeight="1"/>
    <row r="5139" ht="12" customHeight="1"/>
    <row r="5140" ht="12" customHeight="1"/>
    <row r="5141" ht="12" customHeight="1"/>
    <row r="5142" ht="12" customHeight="1"/>
    <row r="5143" ht="12" customHeight="1"/>
    <row r="5144" ht="12" customHeight="1"/>
    <row r="5145" ht="12" customHeight="1"/>
    <row r="5146" ht="12" customHeight="1"/>
    <row r="5147" ht="12" customHeight="1"/>
    <row r="5148" ht="12" customHeight="1"/>
    <row r="5149" ht="12" customHeight="1"/>
    <row r="5150" ht="12" customHeight="1"/>
    <row r="5151" ht="12" customHeight="1"/>
    <row r="5152" ht="12" customHeight="1"/>
    <row r="5153" ht="12" customHeight="1"/>
    <row r="5154" ht="12" customHeight="1"/>
    <row r="5155" ht="12" customHeight="1"/>
    <row r="5156" ht="12" customHeight="1"/>
    <row r="5157" ht="12" customHeight="1"/>
    <row r="5158" ht="12" customHeight="1"/>
    <row r="5159" ht="12" customHeight="1"/>
    <row r="5160" ht="12" customHeight="1"/>
    <row r="5161" ht="12" customHeight="1"/>
    <row r="5162" ht="12" customHeight="1"/>
    <row r="5163" ht="12" customHeight="1"/>
    <row r="5164" ht="12" customHeight="1"/>
    <row r="5165" ht="12" customHeight="1"/>
    <row r="5166" ht="12" customHeight="1"/>
    <row r="5167" ht="12" customHeight="1"/>
    <row r="5168" ht="12" customHeight="1"/>
    <row r="5169" ht="12" customHeight="1"/>
    <row r="5170" ht="12" customHeight="1"/>
    <row r="5171" ht="12" customHeight="1"/>
    <row r="5172" ht="12" customHeight="1"/>
  </sheetData>
  <autoFilter ref="A4:AZ4" xr:uid="{6965BD61-9012-4E87-B767-882227EC20DE}"/>
  <mergeCells count="2">
    <mergeCell ref="E2:F2"/>
    <mergeCell ref="A1:H1"/>
  </mergeCells>
  <dataValidations count="1">
    <dataValidation type="list" allowBlank="1" showInputMessage="1" showErrorMessage="1" sqref="A61 A67" xr:uid="{00000000-0002-0000-0000-000000000000}">
      <formula1>ListaEdital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1148" r:id="rId4" name="TextBox2">
          <controlPr defaultSize="0" autoLine="0" autoPict="0" r:id="rId5">
            <anchor moveWithCells="1" sizeWithCells="1">
              <from>
                <xdr:col>0</xdr:col>
                <xdr:colOff>685800</xdr:colOff>
                <xdr:row>1</xdr:row>
                <xdr:rowOff>1188720</xdr:rowOff>
              </from>
              <to>
                <xdr:col>2</xdr:col>
                <xdr:colOff>0</xdr:colOff>
                <xdr:row>3</xdr:row>
                <xdr:rowOff>7620</xdr:rowOff>
              </to>
            </anchor>
          </controlPr>
        </control>
      </mc:Choice>
      <mc:Fallback>
        <control shapeId="1148" r:id="rId4" name="TextBox2"/>
      </mc:Fallback>
    </mc:AlternateContent>
    <mc:AlternateContent xmlns:mc="http://schemas.openxmlformats.org/markup-compatibility/2006">
      <mc:Choice Requires="x14">
        <control shapeId="1147" r:id="rId6" name="TextBox1">
          <controlPr defaultSize="0" autoLine="0" r:id="rId7">
            <anchor moveWithCells="1" siz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685800</xdr:colOff>
                <xdr:row>3</xdr:row>
                <xdr:rowOff>7620</xdr:rowOff>
              </to>
            </anchor>
          </controlPr>
        </control>
      </mc:Choice>
      <mc:Fallback>
        <control shapeId="1147" r:id="rId6" name="TextBox1"/>
      </mc:Fallback>
    </mc:AlternateContent>
    <mc:AlternateContent xmlns:mc="http://schemas.openxmlformats.org/markup-compatibility/2006">
      <mc:Choice Requires="x14">
        <control shapeId="1141" r:id="rId8" name="TextBox3">
          <controlPr defaultSize="0" autoLine="0" autoPict="0" r:id="rId9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1" r:id="rId8" name="TextBox3"/>
      </mc:Fallback>
    </mc:AlternateContent>
    <mc:AlternateContent xmlns:mc="http://schemas.openxmlformats.org/markup-compatibility/2006">
      <mc:Choice Requires="x14">
        <control shapeId="1142" r:id="rId10" name="TextBox4">
          <controlPr defaultSize="0" autoLine="0" autoPict="0" r:id="rId11">
            <anchor moveWithCells="1" sizeWithCells="1">
              <from>
                <xdr:col>2</xdr:col>
                <xdr:colOff>2026920</xdr:colOff>
                <xdr:row>2</xdr:row>
                <xdr:rowOff>0</xdr:rowOff>
              </from>
              <to>
                <xdr:col>4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2" r:id="rId10" name="TextBox4"/>
      </mc:Fallback>
    </mc:AlternateContent>
    <mc:AlternateContent xmlns:mc="http://schemas.openxmlformats.org/markup-compatibility/2006">
      <mc:Choice Requires="x14">
        <control shapeId="1143" r:id="rId12" name="TextBox5">
          <controlPr defaultSize="0" autoLine="0" autoPict="0" r:id="rId13">
            <anchor moveWithCells="1" sizeWithCells="1">
              <from>
                <xdr:col>4</xdr:col>
                <xdr:colOff>7620</xdr:colOff>
                <xdr:row>1</xdr:row>
                <xdr:rowOff>1188720</xdr:rowOff>
              </from>
              <to>
                <xdr:col>4</xdr:col>
                <xdr:colOff>731520</xdr:colOff>
                <xdr:row>3</xdr:row>
                <xdr:rowOff>0</xdr:rowOff>
              </to>
            </anchor>
          </controlPr>
        </control>
      </mc:Choice>
      <mc:Fallback>
        <control shapeId="1143" r:id="rId12" name="TextBox5"/>
      </mc:Fallback>
    </mc:AlternateContent>
    <mc:AlternateContent xmlns:mc="http://schemas.openxmlformats.org/markup-compatibility/2006">
      <mc:Choice Requires="x14">
        <control shapeId="1144" r:id="rId14" name="TextBox6">
          <controlPr defaultSize="0" autoLine="0" autoPict="0" r:id="rId15">
            <anchor moveWithCells="1" sizeWithCells="1">
              <from>
                <xdr:col>4</xdr:col>
                <xdr:colOff>746760</xdr:colOff>
                <xdr:row>2</xdr:row>
                <xdr:rowOff>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4" r:id="rId14" name="TextBox6"/>
      </mc:Fallback>
    </mc:AlternateContent>
    <mc:AlternateContent xmlns:mc="http://schemas.openxmlformats.org/markup-compatibility/2006">
      <mc:Choice Requires="x14">
        <control shapeId="1145" r:id="rId16" name="TextBox7">
          <controlPr defaultSize="0" autoLine="0" autoPict="0" r:id="rId17">
            <anchor moveWithCells="1" sizeWithCells="1">
              <from>
                <xdr:col>6</xdr:col>
                <xdr:colOff>7620</xdr:colOff>
                <xdr:row>2</xdr:row>
                <xdr:rowOff>7620</xdr:rowOff>
              </from>
              <to>
                <xdr:col>6</xdr:col>
                <xdr:colOff>3741420</xdr:colOff>
                <xdr:row>3</xdr:row>
                <xdr:rowOff>7620</xdr:rowOff>
              </to>
            </anchor>
          </controlPr>
        </control>
      </mc:Choice>
      <mc:Fallback>
        <control shapeId="1145" r:id="rId16" name="TextBox7"/>
      </mc:Fallback>
    </mc:AlternateContent>
    <mc:AlternateContent xmlns:mc="http://schemas.openxmlformats.org/markup-compatibility/2006">
      <mc:Choice Requires="x14">
        <control shapeId="1146" r:id="rId18" name="TextBox8">
          <controlPr defaultSize="0" autoLine="0" r:id="rId19">
            <anchor moveWithCells="1" sizeWithCells="1">
              <from>
                <xdr:col>6</xdr:col>
                <xdr:colOff>6713220</xdr:colOff>
                <xdr:row>2</xdr:row>
                <xdr:rowOff>0</xdr:rowOff>
              </from>
              <to>
                <xdr:col>10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6" r:id="rId18" name="TextBox8"/>
      </mc:Fallback>
    </mc:AlternateContent>
    <mc:AlternateContent xmlns:mc="http://schemas.openxmlformats.org/markup-compatibility/2006">
      <mc:Choice Requires="x14">
        <control shapeId="2" r:id="rId20" name="Button 99">
          <controlPr defaultSize="0" print="0" autoFill="0" autoPict="0" macro="[0]!Filtra_Ativos">
            <anchor moveWithCells="1" sizeWithCells="1">
              <from>
                <xdr:col>7</xdr:col>
                <xdr:colOff>7620</xdr:colOff>
                <xdr:row>1</xdr:row>
                <xdr:rowOff>1013460</xdr:rowOff>
              </from>
              <to>
                <xdr:col>8</xdr:col>
                <xdr:colOff>99060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21" name="Button 102">
          <controlPr defaultSize="0" print="0" autoFill="0" autoPict="0" macro="[0]!Oculta">
            <anchor moveWithCells="1" sizeWithCells="1">
              <from>
                <xdr:col>6</xdr:col>
                <xdr:colOff>22860</xdr:colOff>
                <xdr:row>1</xdr:row>
                <xdr:rowOff>1021080</xdr:rowOff>
              </from>
              <to>
                <xdr:col>6</xdr:col>
                <xdr:colOff>1211580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22" name="Button 105">
          <controlPr defaultSize="0" print="0" autoFill="0" autoPict="0" macro="[0]!Macro8">
            <anchor moveWithCells="1" sizeWithCells="1">
              <from>
                <xdr:col>0</xdr:col>
                <xdr:colOff>0</xdr:colOff>
                <xdr:row>1</xdr:row>
                <xdr:rowOff>716280</xdr:rowOff>
              </from>
              <to>
                <xdr:col>1</xdr:col>
                <xdr:colOff>7620</xdr:colOff>
                <xdr:row>1</xdr:row>
                <xdr:rowOff>922020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23" name="Button 106">
          <controlPr defaultSize="0" print="0" autoFill="0" autoPict="0" macro="[0]!Macro9">
            <anchor moveWithCells="1" sizeWithCells="1">
              <from>
                <xdr:col>0</xdr:col>
                <xdr:colOff>22860</xdr:colOff>
                <xdr:row>1</xdr:row>
                <xdr:rowOff>937260</xdr:rowOff>
              </from>
              <to>
                <xdr:col>0</xdr:col>
                <xdr:colOff>693420</xdr:colOff>
                <xdr:row>2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Dados!$A$2:$A$14</xm:f>
          </x14:formula1>
          <xm:sqref>H5:H1048576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M157"/>
  <sheetViews>
    <sheetView workbookViewId="0">
      <selection activeCell="D14" sqref="D14"/>
    </sheetView>
  </sheetViews>
  <sheetFormatPr defaultRowHeight="13.2"/>
  <cols>
    <col min="1" max="1" width="24.88671875" bestFit="1" customWidth="1"/>
    <col min="2" max="2" width="2.88671875" bestFit="1" customWidth="1"/>
    <col min="3" max="3" width="4.109375" bestFit="1" customWidth="1"/>
    <col min="4" max="4" width="4.109375" customWidth="1"/>
    <col min="5" max="5" width="4.88671875" customWidth="1"/>
    <col min="6" max="6" width="14" customWidth="1"/>
    <col min="7" max="8" width="7" style="17" customWidth="1"/>
    <col min="9" max="9" width="10.109375" style="17" bestFit="1" customWidth="1"/>
  </cols>
  <sheetData>
    <row r="1" spans="1:13" ht="26.4">
      <c r="A1" s="4" t="s">
        <v>155</v>
      </c>
      <c r="B1" s="4" t="s">
        <v>162</v>
      </c>
      <c r="C1" s="4" t="s">
        <v>156</v>
      </c>
      <c r="D1" s="104" t="s">
        <v>812</v>
      </c>
      <c r="F1" s="111" t="s">
        <v>265</v>
      </c>
      <c r="G1" s="111"/>
      <c r="H1" s="111"/>
      <c r="I1" s="21">
        <v>6</v>
      </c>
      <c r="J1" s="35" t="s">
        <v>722</v>
      </c>
    </row>
    <row r="2" spans="1:13">
      <c r="A2" s="3" t="s">
        <v>197</v>
      </c>
      <c r="B2" s="3">
        <v>1</v>
      </c>
      <c r="C2" s="2">
        <f>COUNTIF(Processos!I:I,B2)</f>
        <v>1</v>
      </c>
      <c r="D2" s="105">
        <v>5</v>
      </c>
      <c r="F2" s="112" t="s">
        <v>266</v>
      </c>
      <c r="G2" s="113"/>
      <c r="H2" s="114"/>
      <c r="I2" s="21">
        <v>2</v>
      </c>
      <c r="J2" s="35" t="s">
        <v>723</v>
      </c>
    </row>
    <row r="3" spans="1:13">
      <c r="A3" s="3" t="s">
        <v>163</v>
      </c>
      <c r="B3" s="3">
        <v>2</v>
      </c>
      <c r="C3" s="2">
        <f>COUNTIF(Processos!I:I,B3)</f>
        <v>7</v>
      </c>
      <c r="D3" s="105">
        <v>10</v>
      </c>
      <c r="F3" s="19" t="s">
        <v>261</v>
      </c>
      <c r="G3" s="20" t="s">
        <v>262</v>
      </c>
      <c r="H3" s="20" t="s">
        <v>263</v>
      </c>
      <c r="I3" s="20" t="s">
        <v>264</v>
      </c>
    </row>
    <row r="4" spans="1:13">
      <c r="A4" s="3" t="s">
        <v>164</v>
      </c>
      <c r="B4" s="3">
        <v>3</v>
      </c>
      <c r="C4" s="2">
        <f>COUNTIF(Processos!I:I,B4)</f>
        <v>1</v>
      </c>
      <c r="D4" s="105">
        <v>15</v>
      </c>
      <c r="F4" s="3" t="s">
        <v>258</v>
      </c>
      <c r="G4" s="52">
        <f>COUNTIFS(Processos!E:E,"*preg*",Processos!I:I,"&lt;11") - COUNTIFS(Processos!E:E,"*SRP*",Processos!I:I,"&lt;11")</f>
        <v>29</v>
      </c>
      <c r="H4" s="18">
        <v>10</v>
      </c>
      <c r="I4" s="18">
        <f>G4*H4</f>
        <v>290</v>
      </c>
    </row>
    <row r="5" spans="1:13">
      <c r="A5" s="3" t="s">
        <v>165</v>
      </c>
      <c r="B5" s="3">
        <v>4</v>
      </c>
      <c r="C5" s="2">
        <f>COUNTIF(Processos!I:I,B5)</f>
        <v>17</v>
      </c>
      <c r="D5" s="105">
        <v>20</v>
      </c>
      <c r="F5" s="3" t="s">
        <v>259</v>
      </c>
      <c r="G5" s="52">
        <f>COUNTIFS(Processos!E:E,"*SRP*",Processos!I:I,"&lt;11")</f>
        <v>12</v>
      </c>
      <c r="H5" s="18">
        <v>10</v>
      </c>
      <c r="I5" s="18">
        <f t="shared" ref="I5:I9" si="0">G5*H5</f>
        <v>120</v>
      </c>
      <c r="M5" s="93"/>
    </row>
    <row r="6" spans="1:13">
      <c r="A6" s="3" t="s">
        <v>166</v>
      </c>
      <c r="B6" s="3">
        <v>5</v>
      </c>
      <c r="C6" s="2">
        <f>COUNTIF(Processos!I:I,B6)</f>
        <v>3</v>
      </c>
      <c r="D6" s="105">
        <v>30</v>
      </c>
      <c r="F6" s="3" t="s">
        <v>11</v>
      </c>
      <c r="G6" s="52">
        <f>COUNTIFS(Processos!E:E,"*disp*",Processos!I:I,"&lt;11") - COUNTIFS(Processos!E:E,"*pv*",Processos!I:I,"&lt;11")</f>
        <v>10</v>
      </c>
      <c r="H6" s="18">
        <v>5</v>
      </c>
      <c r="I6" s="18">
        <f t="shared" si="0"/>
        <v>50</v>
      </c>
      <c r="M6" s="93"/>
    </row>
    <row r="7" spans="1:13">
      <c r="A7" s="3" t="s">
        <v>167</v>
      </c>
      <c r="B7" s="3">
        <v>6</v>
      </c>
      <c r="C7" s="2">
        <f>COUNTIF(Processos!I:I,B7)</f>
        <v>13</v>
      </c>
      <c r="D7" s="105">
        <v>40</v>
      </c>
      <c r="F7" s="3" t="s">
        <v>161</v>
      </c>
      <c r="G7" s="52">
        <f>COUNTIFS(Processos!E:E,"*pv*",Processos!I:I,"&lt;11")</f>
        <v>5</v>
      </c>
      <c r="H7" s="18">
        <v>1</v>
      </c>
      <c r="I7" s="18">
        <f t="shared" si="0"/>
        <v>5</v>
      </c>
      <c r="M7" s="93"/>
    </row>
    <row r="8" spans="1:13">
      <c r="A8" s="3" t="s">
        <v>168</v>
      </c>
      <c r="B8" s="3">
        <v>7</v>
      </c>
      <c r="C8" s="2">
        <f>COUNTIF(Processos!I:I,B8)</f>
        <v>1</v>
      </c>
      <c r="D8" s="105">
        <v>50</v>
      </c>
      <c r="F8" s="3" t="s">
        <v>94</v>
      </c>
      <c r="G8" s="52">
        <f>COUNTIFS(Processos!E:E,"*inex*",Processos!I:I,"&lt;11")</f>
        <v>9</v>
      </c>
      <c r="H8" s="18">
        <v>1</v>
      </c>
      <c r="I8" s="18">
        <f t="shared" si="0"/>
        <v>9</v>
      </c>
      <c r="M8" s="93"/>
    </row>
    <row r="9" spans="1:13">
      <c r="A9" s="3" t="s">
        <v>169</v>
      </c>
      <c r="B9" s="3">
        <v>8</v>
      </c>
      <c r="C9" s="2">
        <f>COUNTIF(Processos!I:I,B9)</f>
        <v>4</v>
      </c>
      <c r="D9" s="105">
        <v>60</v>
      </c>
      <c r="F9" s="3" t="s">
        <v>260</v>
      </c>
      <c r="G9" s="53">
        <f>COUNTIFS(Processos!E:E,"*ata*",Processos!I:I,"&lt;11")</f>
        <v>4</v>
      </c>
      <c r="H9" s="18">
        <v>2</v>
      </c>
      <c r="I9" s="18">
        <f t="shared" si="0"/>
        <v>8</v>
      </c>
      <c r="M9" s="93"/>
    </row>
    <row r="10" spans="1:13">
      <c r="A10" s="3" t="s">
        <v>12</v>
      </c>
      <c r="B10" s="3">
        <v>9</v>
      </c>
      <c r="C10" s="2">
        <f>COUNTIF(Processos!I:I,B10)</f>
        <v>20</v>
      </c>
      <c r="D10" s="105">
        <v>70</v>
      </c>
      <c r="F10" s="110" t="s">
        <v>264</v>
      </c>
      <c r="G10" s="110"/>
      <c r="H10" s="110"/>
      <c r="I10" s="21">
        <f>SUM(I4,I5)/I1+SUM(I6,I7,I8,I9)/I2</f>
        <v>104.33333333333333</v>
      </c>
      <c r="M10" s="93"/>
    </row>
    <row r="11" spans="1:13">
      <c r="A11" s="3" t="s">
        <v>170</v>
      </c>
      <c r="B11" s="3">
        <v>10</v>
      </c>
      <c r="C11" s="2">
        <f>COUNTIF(Processos!I:I,B11)</f>
        <v>9</v>
      </c>
      <c r="D11" s="105">
        <v>80</v>
      </c>
      <c r="F11" s="110" t="s">
        <v>267</v>
      </c>
      <c r="G11" s="115"/>
      <c r="H11" s="115"/>
      <c r="I11" s="22">
        <f ca="1">TODAY()+I10</f>
        <v>43510.333333333336</v>
      </c>
      <c r="M11" s="93"/>
    </row>
    <row r="12" spans="1:13">
      <c r="A12" s="10" t="s">
        <v>171</v>
      </c>
      <c r="B12" s="3">
        <v>11</v>
      </c>
      <c r="C12" s="2">
        <f>COUNTIF(Processos!I:I,B12)</f>
        <v>2</v>
      </c>
      <c r="D12" s="105">
        <v>90</v>
      </c>
      <c r="M12" s="93"/>
    </row>
    <row r="13" spans="1:13">
      <c r="A13" s="3" t="s">
        <v>172</v>
      </c>
      <c r="B13" s="3">
        <v>15</v>
      </c>
      <c r="C13" s="2">
        <f>COUNTIF(Processos!I:I,B13)</f>
        <v>111</v>
      </c>
      <c r="D13" s="105">
        <v>100</v>
      </c>
      <c r="M13" s="93"/>
    </row>
    <row r="14" spans="1:13">
      <c r="A14" s="3" t="s">
        <v>173</v>
      </c>
      <c r="B14" s="10">
        <v>16</v>
      </c>
      <c r="C14" s="2">
        <f>COUNTIF(Processos!I:I,B14)</f>
        <v>10</v>
      </c>
      <c r="D14" s="105">
        <v>0</v>
      </c>
      <c r="M14" s="93"/>
    </row>
    <row r="15" spans="1:13">
      <c r="M15" s="93"/>
    </row>
    <row r="16" spans="1:13">
      <c r="M16" s="93"/>
    </row>
    <row r="17" spans="13:13">
      <c r="M17" s="93"/>
    </row>
    <row r="18" spans="13:13">
      <c r="M18" s="93"/>
    </row>
    <row r="19" spans="13:13">
      <c r="M19" s="93"/>
    </row>
    <row r="20" spans="13:13">
      <c r="M20" s="93"/>
    </row>
    <row r="21" spans="13:13">
      <c r="M21" s="93"/>
    </row>
    <row r="22" spans="13:13">
      <c r="M22" s="93"/>
    </row>
    <row r="23" spans="13:13">
      <c r="M23" s="93"/>
    </row>
    <row r="24" spans="13:13">
      <c r="M24" s="93"/>
    </row>
    <row r="25" spans="13:13">
      <c r="M25" s="93"/>
    </row>
    <row r="26" spans="13:13">
      <c r="M26" s="93"/>
    </row>
    <row r="27" spans="13:13">
      <c r="M27" s="93"/>
    </row>
    <row r="28" spans="13:13">
      <c r="M28" s="93"/>
    </row>
    <row r="29" spans="13:13">
      <c r="M29" s="93"/>
    </row>
    <row r="30" spans="13:13">
      <c r="M30" s="93"/>
    </row>
    <row r="31" spans="13:13">
      <c r="M31" s="93"/>
    </row>
    <row r="32" spans="13:13">
      <c r="M32" s="93"/>
    </row>
    <row r="33" spans="13:13">
      <c r="M33" s="93"/>
    </row>
    <row r="34" spans="13:13">
      <c r="M34" s="93"/>
    </row>
    <row r="35" spans="13:13">
      <c r="M35" s="93"/>
    </row>
    <row r="36" spans="13:13">
      <c r="M36" s="93"/>
    </row>
    <row r="37" spans="13:13">
      <c r="M37" s="93"/>
    </row>
    <row r="38" spans="13:13">
      <c r="M38" s="93"/>
    </row>
    <row r="39" spans="13:13">
      <c r="M39" s="93"/>
    </row>
    <row r="40" spans="13:13">
      <c r="M40" s="93"/>
    </row>
    <row r="41" spans="13:13">
      <c r="M41" s="93"/>
    </row>
    <row r="42" spans="13:13">
      <c r="M42" s="93"/>
    </row>
    <row r="43" spans="13:13">
      <c r="M43" s="93"/>
    </row>
    <row r="44" spans="13:13">
      <c r="M44" s="93"/>
    </row>
    <row r="45" spans="13:13">
      <c r="M45" s="93"/>
    </row>
    <row r="46" spans="13:13">
      <c r="M46" s="93"/>
    </row>
    <row r="47" spans="13:13">
      <c r="M47" s="93"/>
    </row>
    <row r="48" spans="13:13">
      <c r="M48" s="93"/>
    </row>
    <row r="49" spans="13:13">
      <c r="M49" s="93"/>
    </row>
    <row r="50" spans="13:13">
      <c r="M50" s="93"/>
    </row>
    <row r="51" spans="13:13">
      <c r="M51" s="93"/>
    </row>
    <row r="52" spans="13:13">
      <c r="M52" s="93"/>
    </row>
    <row r="53" spans="13:13">
      <c r="M53" s="93"/>
    </row>
    <row r="54" spans="13:13">
      <c r="M54" s="93"/>
    </row>
    <row r="55" spans="13:13">
      <c r="M55" s="93"/>
    </row>
    <row r="56" spans="13:13">
      <c r="M56" s="93"/>
    </row>
    <row r="57" spans="13:13">
      <c r="M57" s="93"/>
    </row>
    <row r="58" spans="13:13">
      <c r="M58" s="93"/>
    </row>
    <row r="59" spans="13:13">
      <c r="M59" s="93"/>
    </row>
    <row r="60" spans="13:13">
      <c r="M60" s="93"/>
    </row>
    <row r="61" spans="13:13">
      <c r="M61" s="93"/>
    </row>
    <row r="62" spans="13:13">
      <c r="M62" s="93"/>
    </row>
    <row r="63" spans="13:13">
      <c r="M63" s="93"/>
    </row>
    <row r="64" spans="13:13">
      <c r="M64" s="93"/>
    </row>
    <row r="65" spans="13:13">
      <c r="M65" s="93"/>
    </row>
    <row r="66" spans="13:13">
      <c r="M66" s="93"/>
    </row>
    <row r="67" spans="13:13">
      <c r="M67" s="93"/>
    </row>
    <row r="68" spans="13:13">
      <c r="M68" s="93"/>
    </row>
    <row r="69" spans="13:13">
      <c r="M69" s="93"/>
    </row>
    <row r="70" spans="13:13">
      <c r="M70" s="93"/>
    </row>
    <row r="71" spans="13:13">
      <c r="M71" s="93"/>
    </row>
    <row r="72" spans="13:13">
      <c r="M72" s="93"/>
    </row>
    <row r="73" spans="13:13">
      <c r="M73" s="93"/>
    </row>
    <row r="74" spans="13:13">
      <c r="M74" s="93"/>
    </row>
    <row r="75" spans="13:13">
      <c r="M75" s="93"/>
    </row>
    <row r="76" spans="13:13">
      <c r="M76" s="93"/>
    </row>
    <row r="77" spans="13:13">
      <c r="M77" s="93"/>
    </row>
    <row r="78" spans="13:13">
      <c r="M78" s="93"/>
    </row>
    <row r="79" spans="13:13">
      <c r="M79" s="93"/>
    </row>
    <row r="80" spans="13:13">
      <c r="M80" s="93"/>
    </row>
    <row r="81" spans="13:13">
      <c r="M81" s="93"/>
    </row>
    <row r="82" spans="13:13">
      <c r="M82" s="93"/>
    </row>
    <row r="83" spans="13:13">
      <c r="M83" s="93"/>
    </row>
    <row r="84" spans="13:13">
      <c r="M84" s="93"/>
    </row>
    <row r="85" spans="13:13">
      <c r="M85" s="93"/>
    </row>
    <row r="86" spans="13:13">
      <c r="M86" s="93"/>
    </row>
    <row r="87" spans="13:13">
      <c r="M87" s="93"/>
    </row>
    <row r="88" spans="13:13">
      <c r="M88" s="93"/>
    </row>
    <row r="89" spans="13:13">
      <c r="M89" s="93"/>
    </row>
    <row r="90" spans="13:13">
      <c r="M90" s="93"/>
    </row>
    <row r="91" spans="13:13">
      <c r="M91" s="93"/>
    </row>
    <row r="92" spans="13:13">
      <c r="M92" s="93"/>
    </row>
    <row r="93" spans="13:13">
      <c r="M93" s="93"/>
    </row>
    <row r="94" spans="13:13">
      <c r="M94" s="93"/>
    </row>
    <row r="95" spans="13:13">
      <c r="M95" s="93"/>
    </row>
    <row r="96" spans="13:13">
      <c r="M96" s="93"/>
    </row>
    <row r="97" spans="13:13">
      <c r="M97" s="93"/>
    </row>
    <row r="98" spans="13:13">
      <c r="M98" s="93"/>
    </row>
    <row r="99" spans="13:13">
      <c r="M99" s="93"/>
    </row>
    <row r="100" spans="13:13">
      <c r="M100" s="93"/>
    </row>
    <row r="101" spans="13:13">
      <c r="M101" s="93"/>
    </row>
    <row r="102" spans="13:13">
      <c r="M102" s="93"/>
    </row>
    <row r="103" spans="13:13">
      <c r="M103" s="93"/>
    </row>
    <row r="104" spans="13:13">
      <c r="M104" s="93"/>
    </row>
    <row r="105" spans="13:13">
      <c r="M105" s="93"/>
    </row>
    <row r="106" spans="13:13">
      <c r="M106" s="93"/>
    </row>
    <row r="107" spans="13:13">
      <c r="M107" s="93"/>
    </row>
    <row r="108" spans="13:13">
      <c r="M108" s="93"/>
    </row>
    <row r="109" spans="13:13">
      <c r="M109" s="93"/>
    </row>
    <row r="110" spans="13:13">
      <c r="M110" s="93"/>
    </row>
    <row r="111" spans="13:13">
      <c r="M111" s="93"/>
    </row>
    <row r="112" spans="13:13">
      <c r="M112" s="93"/>
    </row>
    <row r="113" spans="13:13">
      <c r="M113" s="93"/>
    </row>
    <row r="114" spans="13:13">
      <c r="M114" s="93"/>
    </row>
    <row r="115" spans="13:13">
      <c r="M115" s="93"/>
    </row>
    <row r="116" spans="13:13">
      <c r="M116" s="93"/>
    </row>
    <row r="117" spans="13:13">
      <c r="M117" s="93"/>
    </row>
    <row r="118" spans="13:13">
      <c r="M118" s="93"/>
    </row>
    <row r="119" spans="13:13">
      <c r="M119" s="93"/>
    </row>
    <row r="120" spans="13:13">
      <c r="M120" s="93"/>
    </row>
    <row r="121" spans="13:13">
      <c r="M121" s="93"/>
    </row>
    <row r="122" spans="13:13">
      <c r="M122" s="93"/>
    </row>
    <row r="123" spans="13:13">
      <c r="M123" s="93"/>
    </row>
    <row r="124" spans="13:13">
      <c r="M124" s="93"/>
    </row>
    <row r="125" spans="13:13">
      <c r="M125" s="93"/>
    </row>
    <row r="126" spans="13:13">
      <c r="M126" s="93"/>
    </row>
    <row r="127" spans="13:13">
      <c r="M127" s="93"/>
    </row>
    <row r="128" spans="13:13">
      <c r="M128" s="93"/>
    </row>
    <row r="129" spans="13:13">
      <c r="M129" s="93"/>
    </row>
    <row r="130" spans="13:13">
      <c r="M130" s="93"/>
    </row>
    <row r="131" spans="13:13">
      <c r="M131" s="93"/>
    </row>
    <row r="132" spans="13:13">
      <c r="M132" s="93"/>
    </row>
    <row r="133" spans="13:13">
      <c r="M133" s="93"/>
    </row>
    <row r="134" spans="13:13">
      <c r="M134" s="93"/>
    </row>
    <row r="135" spans="13:13">
      <c r="M135" s="93"/>
    </row>
    <row r="136" spans="13:13">
      <c r="M136" s="93"/>
    </row>
    <row r="137" spans="13:13">
      <c r="M137" s="93"/>
    </row>
    <row r="138" spans="13:13">
      <c r="M138" s="93"/>
    </row>
    <row r="139" spans="13:13">
      <c r="M139" s="93"/>
    </row>
    <row r="140" spans="13:13">
      <c r="M140" s="93"/>
    </row>
    <row r="141" spans="13:13">
      <c r="M141" s="93"/>
    </row>
    <row r="142" spans="13:13">
      <c r="M142" s="93"/>
    </row>
    <row r="143" spans="13:13">
      <c r="M143" s="93"/>
    </row>
    <row r="144" spans="13:13">
      <c r="M144" s="93"/>
    </row>
    <row r="145" spans="13:13">
      <c r="M145" s="93"/>
    </row>
    <row r="146" spans="13:13">
      <c r="M146" s="93"/>
    </row>
    <row r="147" spans="13:13">
      <c r="M147" s="93"/>
    </row>
    <row r="148" spans="13:13">
      <c r="M148" s="93"/>
    </row>
    <row r="149" spans="13:13">
      <c r="M149" s="93"/>
    </row>
    <row r="150" spans="13:13">
      <c r="M150" s="93"/>
    </row>
    <row r="151" spans="13:13">
      <c r="M151" s="93"/>
    </row>
    <row r="152" spans="13:13">
      <c r="M152" s="93"/>
    </row>
    <row r="153" spans="13:13">
      <c r="M153" s="93"/>
    </row>
    <row r="154" spans="13:13">
      <c r="M154" s="93"/>
    </row>
    <row r="155" spans="13:13">
      <c r="M155" s="93"/>
    </row>
    <row r="156" spans="13:13">
      <c r="M156" s="93"/>
    </row>
    <row r="157" spans="13:13">
      <c r="M157" s="93"/>
    </row>
  </sheetData>
  <mergeCells count="4">
    <mergeCell ref="F10:H10"/>
    <mergeCell ref="F1:H1"/>
    <mergeCell ref="F2:H2"/>
    <mergeCell ref="F11:H1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3:A178"/>
  <sheetViews>
    <sheetView topLeftCell="A34" workbookViewId="0">
      <selection activeCell="A56" sqref="A56"/>
    </sheetView>
  </sheetViews>
  <sheetFormatPr defaultRowHeight="13.2"/>
  <cols>
    <col min="1" max="1" width="76.6640625" bestFit="1" customWidth="1"/>
  </cols>
  <sheetData>
    <row r="3" spans="1:1">
      <c r="A3" s="11" t="s">
        <v>201</v>
      </c>
    </row>
    <row r="4" spans="1:1">
      <c r="A4" s="12" t="s">
        <v>193</v>
      </c>
    </row>
    <row r="5" spans="1:1">
      <c r="A5" s="13" t="s">
        <v>192</v>
      </c>
    </row>
    <row r="6" spans="1:1">
      <c r="A6" s="14" t="s">
        <v>163</v>
      </c>
    </row>
    <row r="7" spans="1:1">
      <c r="A7" s="12" t="s">
        <v>3</v>
      </c>
    </row>
    <row r="8" spans="1:1">
      <c r="A8" s="13" t="s">
        <v>103</v>
      </c>
    </row>
    <row r="9" spans="1:1">
      <c r="A9" s="14" t="s">
        <v>164</v>
      </c>
    </row>
    <row r="10" spans="1:1">
      <c r="A10" s="13" t="s">
        <v>152</v>
      </c>
    </row>
    <row r="11" spans="1:1">
      <c r="A11" s="14" t="s">
        <v>170</v>
      </c>
    </row>
    <row r="12" spans="1:1">
      <c r="A12" s="13" t="s">
        <v>181</v>
      </c>
    </row>
    <row r="13" spans="1:1">
      <c r="A13" s="14" t="s">
        <v>168</v>
      </c>
    </row>
    <row r="14" spans="1:1">
      <c r="A14" s="13" t="s">
        <v>63</v>
      </c>
    </row>
    <row r="15" spans="1:1">
      <c r="A15" s="14" t="s">
        <v>164</v>
      </c>
    </row>
    <row r="16" spans="1:1">
      <c r="A16" s="13" t="s">
        <v>10</v>
      </c>
    </row>
    <row r="17" spans="1:1">
      <c r="A17" s="14" t="s">
        <v>165</v>
      </c>
    </row>
    <row r="18" spans="1:1">
      <c r="A18" s="13" t="s">
        <v>30</v>
      </c>
    </row>
    <row r="19" spans="1:1">
      <c r="A19" s="14" t="s">
        <v>164</v>
      </c>
    </row>
    <row r="20" spans="1:1">
      <c r="A20" s="12" t="s">
        <v>4</v>
      </c>
    </row>
    <row r="21" spans="1:1">
      <c r="A21" s="13" t="s">
        <v>2</v>
      </c>
    </row>
    <row r="22" spans="1:1">
      <c r="A22" s="14" t="s">
        <v>170</v>
      </c>
    </row>
    <row r="23" spans="1:1">
      <c r="A23" s="13" t="s">
        <v>65</v>
      </c>
    </row>
    <row r="24" spans="1:1">
      <c r="A24" s="14" t="s">
        <v>167</v>
      </c>
    </row>
    <row r="25" spans="1:1">
      <c r="A25" s="13" t="s">
        <v>116</v>
      </c>
    </row>
    <row r="26" spans="1:1">
      <c r="A26" s="14" t="s">
        <v>164</v>
      </c>
    </row>
    <row r="27" spans="1:1">
      <c r="A27" s="13" t="s">
        <v>27</v>
      </c>
    </row>
    <row r="28" spans="1:1">
      <c r="A28" s="14" t="s">
        <v>168</v>
      </c>
    </row>
    <row r="29" spans="1:1">
      <c r="A29" s="13" t="s">
        <v>44</v>
      </c>
    </row>
    <row r="30" spans="1:1">
      <c r="A30" s="14" t="s">
        <v>165</v>
      </c>
    </row>
    <row r="31" spans="1:1">
      <c r="A31" s="13" t="s">
        <v>53</v>
      </c>
    </row>
    <row r="32" spans="1:1">
      <c r="A32" s="14" t="s">
        <v>164</v>
      </c>
    </row>
    <row r="33" spans="1:1">
      <c r="A33" s="13" t="s">
        <v>26</v>
      </c>
    </row>
    <row r="34" spans="1:1">
      <c r="A34" s="14" t="s">
        <v>12</v>
      </c>
    </row>
    <row r="35" spans="1:1">
      <c r="A35" s="12" t="s">
        <v>178</v>
      </c>
    </row>
    <row r="36" spans="1:1">
      <c r="A36" s="13" t="s">
        <v>177</v>
      </c>
    </row>
    <row r="37" spans="1:1">
      <c r="A37" s="14" t="s">
        <v>163</v>
      </c>
    </row>
    <row r="38" spans="1:1">
      <c r="A38" s="12" t="s">
        <v>35</v>
      </c>
    </row>
    <row r="39" spans="1:1">
      <c r="A39" s="13" t="s">
        <v>54</v>
      </c>
    </row>
    <row r="40" spans="1:1">
      <c r="A40" s="14" t="s">
        <v>164</v>
      </c>
    </row>
    <row r="41" spans="1:1">
      <c r="A41" s="13" t="s">
        <v>49</v>
      </c>
    </row>
    <row r="42" spans="1:1">
      <c r="A42" s="14" t="s">
        <v>164</v>
      </c>
    </row>
    <row r="43" spans="1:1">
      <c r="A43" s="13" t="s">
        <v>69</v>
      </c>
    </row>
    <row r="44" spans="1:1">
      <c r="A44" s="14" t="s">
        <v>164</v>
      </c>
    </row>
    <row r="45" spans="1:1">
      <c r="A45" s="13" t="s">
        <v>137</v>
      </c>
    </row>
    <row r="46" spans="1:1">
      <c r="A46" s="14" t="s">
        <v>170</v>
      </c>
    </row>
    <row r="47" spans="1:1">
      <c r="A47" s="13" t="s">
        <v>78</v>
      </c>
    </row>
    <row r="48" spans="1:1">
      <c r="A48" s="14" t="s">
        <v>164</v>
      </c>
    </row>
    <row r="49" spans="1:1">
      <c r="A49" s="13" t="s">
        <v>67</v>
      </c>
    </row>
    <row r="50" spans="1:1">
      <c r="A50" s="14" t="s">
        <v>164</v>
      </c>
    </row>
    <row r="51" spans="1:1">
      <c r="A51" s="13" t="s">
        <v>45</v>
      </c>
    </row>
    <row r="52" spans="1:1">
      <c r="A52" s="14" t="s">
        <v>164</v>
      </c>
    </row>
    <row r="53" spans="1:1">
      <c r="A53" s="13" t="s">
        <v>34</v>
      </c>
    </row>
    <row r="54" spans="1:1">
      <c r="A54" s="14" t="s">
        <v>164</v>
      </c>
    </row>
    <row r="55" spans="1:1">
      <c r="A55" s="13" t="s">
        <v>111</v>
      </c>
    </row>
    <row r="56" spans="1:1">
      <c r="A56" s="14" t="s">
        <v>163</v>
      </c>
    </row>
    <row r="57" spans="1:1">
      <c r="A57" s="13" t="s">
        <v>107</v>
      </c>
    </row>
    <row r="58" spans="1:1">
      <c r="A58" s="14" t="s">
        <v>12</v>
      </c>
    </row>
    <row r="59" spans="1:1">
      <c r="A59" s="13" t="s">
        <v>114</v>
      </c>
    </row>
    <row r="60" spans="1:1">
      <c r="A60" s="14" t="s">
        <v>163</v>
      </c>
    </row>
    <row r="61" spans="1:1">
      <c r="A61" s="12" t="s">
        <v>100</v>
      </c>
    </row>
    <row r="62" spans="1:1">
      <c r="A62" s="13" t="s">
        <v>146</v>
      </c>
    </row>
    <row r="63" spans="1:1">
      <c r="A63" s="14" t="s">
        <v>169</v>
      </c>
    </row>
    <row r="64" spans="1:1">
      <c r="A64" s="13" t="s">
        <v>126</v>
      </c>
    </row>
    <row r="65" spans="1:1">
      <c r="A65" s="14" t="s">
        <v>163</v>
      </c>
    </row>
    <row r="66" spans="1:1">
      <c r="A66" s="13" t="s">
        <v>119</v>
      </c>
    </row>
    <row r="67" spans="1:1">
      <c r="A67" s="14" t="s">
        <v>167</v>
      </c>
    </row>
    <row r="68" spans="1:1">
      <c r="A68" s="13" t="s">
        <v>99</v>
      </c>
    </row>
    <row r="69" spans="1:1">
      <c r="A69" s="14" t="s">
        <v>12</v>
      </c>
    </row>
    <row r="70" spans="1:1">
      <c r="A70" s="12" t="s">
        <v>60</v>
      </c>
    </row>
    <row r="71" spans="1:1">
      <c r="A71" s="13" t="s">
        <v>93</v>
      </c>
    </row>
    <row r="72" spans="1:1">
      <c r="A72" s="14" t="s">
        <v>167</v>
      </c>
    </row>
    <row r="73" spans="1:1">
      <c r="A73" s="12" t="s">
        <v>97</v>
      </c>
    </row>
    <row r="74" spans="1:1">
      <c r="A74" s="13" t="s">
        <v>96</v>
      </c>
    </row>
    <row r="75" spans="1:1">
      <c r="A75" s="14" t="s">
        <v>163</v>
      </c>
    </row>
    <row r="76" spans="1:1">
      <c r="A76" s="12" t="s">
        <v>72</v>
      </c>
    </row>
    <row r="77" spans="1:1">
      <c r="A77" s="13" t="s">
        <v>71</v>
      </c>
    </row>
    <row r="78" spans="1:1">
      <c r="A78" s="14" t="s">
        <v>164</v>
      </c>
    </row>
    <row r="79" spans="1:1">
      <c r="A79" s="13" t="s">
        <v>175</v>
      </c>
    </row>
    <row r="80" spans="1:1">
      <c r="A80" s="14" t="s">
        <v>170</v>
      </c>
    </row>
    <row r="81" spans="1:1">
      <c r="A81" s="12" t="s">
        <v>5</v>
      </c>
    </row>
    <row r="82" spans="1:1">
      <c r="A82" s="13" t="s">
        <v>16</v>
      </c>
    </row>
    <row r="83" spans="1:1">
      <c r="A83" s="14" t="s">
        <v>12</v>
      </c>
    </row>
    <row r="84" spans="1:1">
      <c r="A84" s="12" t="s">
        <v>15</v>
      </c>
    </row>
    <row r="85" spans="1:1">
      <c r="A85" s="13" t="s">
        <v>74</v>
      </c>
    </row>
    <row r="86" spans="1:1">
      <c r="A86" s="14" t="s">
        <v>165</v>
      </c>
    </row>
    <row r="87" spans="1:1">
      <c r="A87" s="13" t="s">
        <v>22</v>
      </c>
    </row>
    <row r="88" spans="1:1">
      <c r="A88" s="14" t="s">
        <v>163</v>
      </c>
    </row>
    <row r="89" spans="1:1">
      <c r="A89" s="13" t="s">
        <v>14</v>
      </c>
    </row>
    <row r="90" spans="1:1">
      <c r="A90" s="14" t="s">
        <v>164</v>
      </c>
    </row>
    <row r="91" spans="1:1">
      <c r="A91" s="12" t="s">
        <v>83</v>
      </c>
    </row>
    <row r="92" spans="1:1">
      <c r="A92" s="13" t="s">
        <v>82</v>
      </c>
    </row>
    <row r="93" spans="1:1">
      <c r="A93" s="14" t="s">
        <v>168</v>
      </c>
    </row>
    <row r="94" spans="1:1">
      <c r="A94" s="12" t="s">
        <v>51</v>
      </c>
    </row>
    <row r="95" spans="1:1">
      <c r="A95" s="13" t="s">
        <v>122</v>
      </c>
    </row>
    <row r="96" spans="1:1">
      <c r="A96" s="14" t="s">
        <v>171</v>
      </c>
    </row>
    <row r="97" spans="1:1">
      <c r="A97" s="13" t="s">
        <v>74</v>
      </c>
    </row>
    <row r="98" spans="1:1">
      <c r="A98" s="14" t="s">
        <v>163</v>
      </c>
    </row>
    <row r="99" spans="1:1">
      <c r="A99" s="13" t="s">
        <v>14</v>
      </c>
    </row>
    <row r="100" spans="1:1">
      <c r="A100" s="14" t="s">
        <v>167</v>
      </c>
    </row>
    <row r="101" spans="1:1">
      <c r="A101" s="13" t="s">
        <v>16</v>
      </c>
    </row>
    <row r="102" spans="1:1">
      <c r="A102" s="14" t="s">
        <v>12</v>
      </c>
    </row>
    <row r="103" spans="1:1">
      <c r="A103" s="12" t="s">
        <v>132</v>
      </c>
    </row>
    <row r="104" spans="1:1">
      <c r="A104" s="13" t="s">
        <v>174</v>
      </c>
    </row>
    <row r="105" spans="1:1">
      <c r="A105" s="14" t="s">
        <v>168</v>
      </c>
    </row>
    <row r="106" spans="1:1">
      <c r="A106" s="12" t="s">
        <v>108</v>
      </c>
    </row>
    <row r="107" spans="1:1">
      <c r="A107" s="13" t="s">
        <v>16</v>
      </c>
    </row>
    <row r="108" spans="1:1">
      <c r="A108" s="14" t="s">
        <v>165</v>
      </c>
    </row>
    <row r="109" spans="1:1">
      <c r="A109" s="12" t="s">
        <v>184</v>
      </c>
    </row>
    <row r="110" spans="1:1">
      <c r="A110" s="13" t="s">
        <v>183</v>
      </c>
    </row>
    <row r="111" spans="1:1">
      <c r="A111" s="14" t="s">
        <v>163</v>
      </c>
    </row>
    <row r="112" spans="1:1">
      <c r="A112" s="12" t="s">
        <v>20</v>
      </c>
    </row>
    <row r="113" spans="1:1">
      <c r="A113" s="13" t="s">
        <v>18</v>
      </c>
    </row>
    <row r="114" spans="1:1">
      <c r="A114" s="14" t="s">
        <v>165</v>
      </c>
    </row>
    <row r="115" spans="1:1">
      <c r="A115" s="13" t="s">
        <v>76</v>
      </c>
    </row>
    <row r="116" spans="1:1">
      <c r="A116" s="14" t="s">
        <v>165</v>
      </c>
    </row>
    <row r="117" spans="1:1">
      <c r="A117" s="12" t="s">
        <v>141</v>
      </c>
    </row>
    <row r="118" spans="1:1">
      <c r="A118" s="13" t="s">
        <v>149</v>
      </c>
    </row>
    <row r="119" spans="1:1">
      <c r="A119" s="14" t="s">
        <v>163</v>
      </c>
    </row>
    <row r="120" spans="1:1">
      <c r="A120" s="13" t="s">
        <v>140</v>
      </c>
    </row>
    <row r="121" spans="1:1">
      <c r="A121" s="14" t="s">
        <v>163</v>
      </c>
    </row>
    <row r="122" spans="1:1">
      <c r="A122" s="12" t="s">
        <v>144</v>
      </c>
    </row>
    <row r="123" spans="1:1">
      <c r="A123" s="13" t="s">
        <v>143</v>
      </c>
    </row>
    <row r="124" spans="1:1">
      <c r="A124" s="14" t="s">
        <v>163</v>
      </c>
    </row>
    <row r="125" spans="1:1">
      <c r="A125" s="13" t="s">
        <v>56</v>
      </c>
    </row>
    <row r="126" spans="1:1">
      <c r="A126" s="14" t="s">
        <v>163</v>
      </c>
    </row>
    <row r="127" spans="1:1">
      <c r="A127" s="12" t="s">
        <v>24</v>
      </c>
    </row>
    <row r="128" spans="1:1">
      <c r="A128" s="13" t="s">
        <v>122</v>
      </c>
    </row>
    <row r="129" spans="1:1">
      <c r="A129" s="14" t="s">
        <v>163</v>
      </c>
    </row>
    <row r="130" spans="1:1">
      <c r="A130" s="13" t="s">
        <v>87</v>
      </c>
    </row>
    <row r="131" spans="1:1">
      <c r="A131" s="14" t="s">
        <v>12</v>
      </c>
    </row>
    <row r="132" spans="1:1">
      <c r="A132" s="13" t="s">
        <v>56</v>
      </c>
    </row>
    <row r="133" spans="1:1">
      <c r="A133" s="14" t="s">
        <v>163</v>
      </c>
    </row>
    <row r="134" spans="1:1">
      <c r="A134" s="12" t="s">
        <v>160</v>
      </c>
    </row>
    <row r="135" spans="1:1">
      <c r="A135" s="13" t="s">
        <v>2</v>
      </c>
    </row>
    <row r="136" spans="1:1">
      <c r="A136" s="14" t="s">
        <v>164</v>
      </c>
    </row>
    <row r="137" spans="1:1">
      <c r="A137" s="12" t="s">
        <v>105</v>
      </c>
    </row>
    <row r="138" spans="1:1">
      <c r="A138" s="13" t="s">
        <v>32</v>
      </c>
    </row>
    <row r="139" spans="1:1">
      <c r="A139" s="14" t="s">
        <v>164</v>
      </c>
    </row>
    <row r="140" spans="1:1">
      <c r="A140" s="12" t="s">
        <v>57</v>
      </c>
    </row>
    <row r="141" spans="1:1">
      <c r="A141" s="13" t="s">
        <v>74</v>
      </c>
    </row>
    <row r="142" spans="1:1">
      <c r="A142" s="14" t="s">
        <v>168</v>
      </c>
    </row>
    <row r="143" spans="1:1">
      <c r="A143" s="13" t="s">
        <v>16</v>
      </c>
    </row>
    <row r="144" spans="1:1">
      <c r="A144" s="14" t="s">
        <v>164</v>
      </c>
    </row>
    <row r="145" spans="1:1">
      <c r="A145" s="12" t="s">
        <v>134</v>
      </c>
    </row>
    <row r="146" spans="1:1">
      <c r="A146" s="13" t="s">
        <v>133</v>
      </c>
    </row>
    <row r="147" spans="1:1">
      <c r="A147" s="14" t="s">
        <v>163</v>
      </c>
    </row>
    <row r="148" spans="1:1">
      <c r="A148" s="12" t="s">
        <v>23</v>
      </c>
    </row>
    <row r="149" spans="1:1">
      <c r="A149" s="13" t="s">
        <v>32</v>
      </c>
    </row>
    <row r="150" spans="1:1">
      <c r="A150" s="14" t="s">
        <v>163</v>
      </c>
    </row>
    <row r="151" spans="1:1">
      <c r="A151" s="13" t="s">
        <v>82</v>
      </c>
    </row>
    <row r="152" spans="1:1">
      <c r="A152" s="14" t="s">
        <v>164</v>
      </c>
    </row>
    <row r="153" spans="1:1">
      <c r="A153" s="13" t="s">
        <v>14</v>
      </c>
    </row>
    <row r="154" spans="1:1">
      <c r="A154" s="14" t="s">
        <v>164</v>
      </c>
    </row>
    <row r="155" spans="1:1">
      <c r="A155" s="12" t="s">
        <v>47</v>
      </c>
    </row>
    <row r="156" spans="1:1">
      <c r="A156" s="13" t="s">
        <v>109</v>
      </c>
    </row>
    <row r="157" spans="1:1">
      <c r="A157" s="14" t="s">
        <v>167</v>
      </c>
    </row>
    <row r="158" spans="1:1">
      <c r="A158" s="12" t="s">
        <v>90</v>
      </c>
    </row>
    <row r="159" spans="1:1">
      <c r="A159" s="13" t="s">
        <v>89</v>
      </c>
    </row>
    <row r="160" spans="1:1">
      <c r="A160" s="14" t="s">
        <v>167</v>
      </c>
    </row>
    <row r="161" spans="1:1">
      <c r="A161" s="12" t="s">
        <v>52</v>
      </c>
    </row>
    <row r="162" spans="1:1">
      <c r="A162" s="13" t="s">
        <v>46</v>
      </c>
    </row>
    <row r="163" spans="1:1">
      <c r="A163" s="14" t="s">
        <v>165</v>
      </c>
    </row>
    <row r="164" spans="1:1">
      <c r="A164" s="12" t="s">
        <v>187</v>
      </c>
    </row>
    <row r="165" spans="1:1">
      <c r="A165" s="13" t="s">
        <v>186</v>
      </c>
    </row>
    <row r="166" spans="1:1">
      <c r="A166" s="14" t="s">
        <v>163</v>
      </c>
    </row>
    <row r="167" spans="1:1">
      <c r="A167" s="12" t="s">
        <v>125</v>
      </c>
    </row>
    <row r="168" spans="1:1">
      <c r="A168" s="13" t="s">
        <v>198</v>
      </c>
    </row>
    <row r="169" spans="1:1">
      <c r="A169" s="14" t="s">
        <v>197</v>
      </c>
    </row>
    <row r="170" spans="1:1">
      <c r="A170" s="13" t="s">
        <v>124</v>
      </c>
    </row>
    <row r="171" spans="1:1">
      <c r="A171" s="14" t="s">
        <v>168</v>
      </c>
    </row>
    <row r="172" spans="1:1">
      <c r="A172" s="12" t="s">
        <v>131</v>
      </c>
    </row>
    <row r="173" spans="1:1">
      <c r="A173" s="13" t="s">
        <v>128</v>
      </c>
    </row>
    <row r="174" spans="1:1">
      <c r="A174" s="14" t="s">
        <v>168</v>
      </c>
    </row>
    <row r="175" spans="1:1">
      <c r="A175" s="12" t="s">
        <v>199</v>
      </c>
    </row>
    <row r="176" spans="1:1">
      <c r="A176" s="13" t="s">
        <v>199</v>
      </c>
    </row>
    <row r="177" spans="1:1">
      <c r="A177" s="14" t="s">
        <v>199</v>
      </c>
    </row>
    <row r="178" spans="1:1">
      <c r="A178" s="12" t="s">
        <v>200</v>
      </c>
    </row>
  </sheetData>
  <pageMargins left="0.511811024" right="0.511811024" top="0.78740157499999996" bottom="0.78740157499999996" header="0.31496062000000002" footer="0.31496062000000002"/>
  <pageSetup paperSize="9" orientation="portrait" verticalDpi="597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Processos</vt:lpstr>
      <vt:lpstr>Dados</vt:lpstr>
      <vt:lpstr>Resumo</vt:lpstr>
    </vt:vector>
  </TitlesOfParts>
  <Company>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Jeaner Silva</cp:lastModifiedBy>
  <cp:lastPrinted>2018-10-24T14:27:46Z</cp:lastPrinted>
  <dcterms:created xsi:type="dcterms:W3CDTF">2012-07-23T18:41:53Z</dcterms:created>
  <dcterms:modified xsi:type="dcterms:W3CDTF">2018-11-02T19:05:24Z</dcterms:modified>
</cp:coreProperties>
</file>